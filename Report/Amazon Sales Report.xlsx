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Amazon Sale Report\Report\"/>
    </mc:Choice>
  </mc:AlternateContent>
  <xr:revisionPtr revIDLastSave="0" documentId="13_ncr:1_{A4C9D5B0-3414-4A71-A85C-B33C1199C3B2}" xr6:coauthVersionLast="47" xr6:coauthVersionMax="47" xr10:uidLastSave="{00000000-0000-0000-0000-000000000000}"/>
  <bookViews>
    <workbookView xWindow="-108" yWindow="-108" windowWidth="23256" windowHeight="13176" xr2:uid="{1DE24626-BF60-4871-8242-B0FFC979D36A}"/>
  </bookViews>
  <sheets>
    <sheet name="KYV - Column" sheetId="1" r:id="rId1"/>
    <sheet name="Data Cleaning" sheetId="2" r:id="rId2"/>
    <sheet name="Data-Transformation-Wrangling" sheetId="3" r:id="rId3"/>
    <sheet name="StoryTelling KPI-Char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6" i="2" l="1"/>
  <c r="F25" i="2"/>
  <c r="F24" i="2"/>
  <c r="F23" i="2"/>
  <c r="F19" i="2"/>
  <c r="F20" i="2"/>
  <c r="F21" i="2"/>
  <c r="F22" i="2"/>
  <c r="F18" i="2"/>
  <c r="H17" i="2"/>
  <c r="F17" i="2"/>
  <c r="H15" i="2"/>
  <c r="H14" i="2"/>
  <c r="F16" i="2"/>
  <c r="F15" i="2"/>
  <c r="F14" i="2"/>
  <c r="F13" i="2"/>
  <c r="F12" i="2"/>
</calcChain>
</file>

<file path=xl/sharedStrings.xml><?xml version="1.0" encoding="utf-8"?>
<sst xmlns="http://schemas.openxmlformats.org/spreadsheetml/2006/main" count="415" uniqueCount="249">
  <si>
    <t>Know Your Value/Column</t>
  </si>
  <si>
    <t>Befor Transformation</t>
  </si>
  <si>
    <t>After Transformation</t>
  </si>
  <si>
    <t>Col No.</t>
  </si>
  <si>
    <t>Column Name</t>
  </si>
  <si>
    <t>Description / Purpose</t>
  </si>
  <si>
    <t>KYD Data Cleaning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</si>
  <si>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</si>
  <si>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</si>
  <si>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</si>
  <si>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</si>
  <si>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</si>
  <si>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</si>
  <si>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</si>
  <si>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</si>
  <si>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Data-Transformation-Wrangling</t>
  </si>
  <si>
    <t>Performed Activity (Data Wrangling Step)</t>
  </si>
  <si>
    <t>Story Telling KPI's &amp; Charts</t>
  </si>
  <si>
    <t>KPI's</t>
  </si>
  <si>
    <t>Visuals</t>
  </si>
  <si>
    <t>KPI's Name</t>
  </si>
  <si>
    <t>Description</t>
  </si>
  <si>
    <t>Formula</t>
  </si>
  <si>
    <t>Columns Used</t>
  </si>
  <si>
    <t>Filter / Slicer Name</t>
  </si>
  <si>
    <t>Used Column</t>
  </si>
  <si>
    <t>Order ID</t>
  </si>
  <si>
    <t>Date</t>
  </si>
  <si>
    <t>Status</t>
  </si>
  <si>
    <t>Fulfilment</t>
  </si>
  <si>
    <t>Sales Channel</t>
  </si>
  <si>
    <t>Category</t>
  </si>
  <si>
    <t>Size</t>
  </si>
  <si>
    <t>Qty</t>
  </si>
  <si>
    <t>Amount</t>
  </si>
  <si>
    <t>City</t>
  </si>
  <si>
    <t>State</t>
  </si>
  <si>
    <t>Country</t>
  </si>
  <si>
    <t>Fulfilled By</t>
  </si>
  <si>
    <t>Shipping Type</t>
  </si>
  <si>
    <t>Quantity ordered</t>
  </si>
  <si>
    <t>Total sale amount</t>
  </si>
  <si>
    <t>Year</t>
  </si>
  <si>
    <t>Month</t>
  </si>
  <si>
    <t>Load CSV File</t>
  </si>
  <si>
    <t>Remove Column</t>
  </si>
  <si>
    <t>index</t>
  </si>
  <si>
    <t>Style</t>
  </si>
  <si>
    <t>ASIN</t>
  </si>
  <si>
    <t>ship-postal-code</t>
  </si>
  <si>
    <t>Unnamed: 22</t>
  </si>
  <si>
    <t>Remove Errors</t>
  </si>
  <si>
    <t>Remove Blank Rows</t>
  </si>
  <si>
    <t>Remove Duplicates</t>
  </si>
  <si>
    <t>Date column data type change using local option slect english us</t>
  </si>
  <si>
    <t xml:space="preserve"> After the handle 0 in qty</t>
  </si>
  <si>
    <t>Remove Errors, Blank Rows, Duplicates</t>
  </si>
  <si>
    <t xml:space="preserve">handel 0 in in qty column and change data type with text and replace value 0 with string  and change data type with the whol number and remove errors </t>
  </si>
  <si>
    <t xml:space="preserve">Add Column </t>
  </si>
  <si>
    <t>Total Amount</t>
  </si>
  <si>
    <t>Remove  Errors</t>
  </si>
  <si>
    <t xml:space="preserve">After handled 0 and null Value in Total Amount </t>
  </si>
  <si>
    <r>
      <t xml:space="preserve">add coustom column total amount and handel the 0 with null valule using the formula </t>
    </r>
    <r>
      <rPr>
        <b/>
        <sz val="11"/>
        <color theme="1"/>
        <rFont val="Calibri"/>
        <family val="2"/>
        <scheme val="minor"/>
      </rPr>
      <t xml:space="preserve"> =if Text.Trim([Total Amount x]) = "0" then null else [Total Amount x]</t>
    </r>
    <r>
      <rPr>
        <sz val="11"/>
        <color theme="1"/>
        <rFont val="Calibri"/>
        <family val="2"/>
        <scheme val="minor"/>
      </rPr>
      <t xml:space="preserve">  . Then after that replace null with string and plot error and remove this</t>
    </r>
  </si>
  <si>
    <r>
      <t xml:space="preserve">add coustom string in city and country column where is empty value and that is </t>
    </r>
    <r>
      <rPr>
        <b/>
        <sz val="11"/>
        <color theme="1"/>
        <rFont val="Calibri"/>
        <family val="2"/>
        <scheme val="minor"/>
      </rPr>
      <t>unknown</t>
    </r>
  </si>
  <si>
    <r>
      <t xml:space="preserve">handel currency column blank strign with </t>
    </r>
    <r>
      <rPr>
        <b/>
        <sz val="11"/>
        <color theme="1"/>
        <rFont val="Calibri"/>
        <family val="2"/>
        <scheme val="minor"/>
      </rPr>
      <t>INR</t>
    </r>
  </si>
  <si>
    <r>
      <t xml:space="preserve">In the column of Promotion id's I see blank values the I replace this with </t>
    </r>
    <r>
      <rPr>
        <b/>
        <sz val="11"/>
        <color theme="1"/>
        <rFont val="Calibri"/>
        <family val="2"/>
        <scheme val="minor"/>
      </rPr>
      <t>No Promotion   this</t>
    </r>
  </si>
  <si>
    <r>
      <t xml:space="preserve">fullfilled by column having blank value replace them with </t>
    </r>
    <r>
      <rPr>
        <b/>
        <sz val="11"/>
        <color theme="1"/>
        <rFont val="Calibri"/>
        <family val="2"/>
        <scheme val="minor"/>
      </rPr>
      <t xml:space="preserve">not specified </t>
    </r>
  </si>
  <si>
    <t>Week</t>
  </si>
  <si>
    <t>Order Type</t>
  </si>
  <si>
    <t>Order Status Group</t>
  </si>
  <si>
    <t>Row number (system generated)</t>
  </si>
  <si>
    <t>Unique order identification number</t>
  </si>
  <si>
    <t>Order placed date (format: MM-DD-YY)</t>
  </si>
  <si>
    <t>Order current status (Delivered / Cancelled / Shipped)</t>
  </si>
  <si>
    <t>Who fulfilled the order (Amazon / Merchant)</t>
  </si>
  <si>
    <t>Platform used for sales (e.g., Amazon.in)</t>
  </si>
  <si>
    <t>ship-service-level</t>
  </si>
  <si>
    <t>Shipping type (Standard / Expedited etc.)</t>
  </si>
  <si>
    <t>Product style code</t>
  </si>
  <si>
    <t>SKU</t>
  </si>
  <si>
    <t>Stock Keeping Unit (unique product code)</t>
  </si>
  <si>
    <t>Product category (Kurta, Set, Top, etc.)</t>
  </si>
  <si>
    <t>Product size (S, M, L, XL, XXL, etc.)</t>
  </si>
  <si>
    <t>Amazon Standard Identification Number</t>
  </si>
  <si>
    <t>Courier Status</t>
  </si>
  <si>
    <t>Shipment progress status</t>
  </si>
  <si>
    <t>currency</t>
  </si>
  <si>
    <t>Currency type (usually INR)</t>
  </si>
  <si>
    <t>ship-city</t>
  </si>
  <si>
    <t>Shipping destination city</t>
  </si>
  <si>
    <t>ship-state</t>
  </si>
  <si>
    <t>Shipping destination state</t>
  </si>
  <si>
    <t>Shipping postal or PIN code</t>
  </si>
  <si>
    <t>ship-country</t>
  </si>
  <si>
    <t>Shipping destination country (e.g., IN)</t>
  </si>
  <si>
    <t>promotion-ids</t>
  </si>
  <si>
    <t>Promotion or coupon identifiers</t>
  </si>
  <si>
    <t>B2B</t>
  </si>
  <si>
    <t>Business-to-Business indicator (TRUE/FALSE)</t>
  </si>
  <si>
    <t>fulfilled-by</t>
  </si>
  <si>
    <t>Fulfillment type (Easy Ship / Merchant / Amazon)</t>
  </si>
  <si>
    <t>Extra blank column (to be removed during cleaning)</t>
  </si>
  <si>
    <t>Final cleaned order date (proper date format)</t>
  </si>
  <si>
    <t>Extracted year from the Date column</t>
  </si>
  <si>
    <t>Extracted month name or number from the Date column</t>
  </si>
  <si>
    <t>Extracted week number of the year</t>
  </si>
  <si>
    <t>Cleaned order status (Delivered / Cancelled / Shipped etc.)</t>
  </si>
  <si>
    <t>Categorized order status (Delivered / Cancelled / Shipped)</t>
  </si>
  <si>
    <t>Shipping level or method (Standard / Expedited / Easy Ship etc.)</t>
  </si>
  <si>
    <t>Stock Keeping Unit (unique product identifier)</t>
  </si>
  <si>
    <t>Product category (e.g., Kurta, Set, Top, etc.)</t>
  </si>
  <si>
    <t>Product size (S, M, L, XL, XXL etc.)</t>
  </si>
  <si>
    <t>Quantity ordered per order ID</t>
  </si>
  <si>
    <t>Currency</t>
  </si>
  <si>
    <t>Cleaned and converted total sale amount (numeric type)</t>
  </si>
  <si>
    <t>Final fulfillment source (Easy Ship / Amazon / Merchant)</t>
  </si>
  <si>
    <t>Shipment or courier progress details</t>
  </si>
  <si>
    <t>Promotion IDs</t>
  </si>
  <si>
    <t>Cleaned promotion or offer IDs (or blank if none)</t>
  </si>
  <si>
    <t>Business-to-Business order indicator (Yes/No)</t>
  </si>
  <si>
    <t>Sales Chanel</t>
  </si>
  <si>
    <t>Derived column — “FBA” if Fulfilment = Amazon else “FBM”</t>
  </si>
  <si>
    <r>
      <t xml:space="preserve">Derived as </t>
    </r>
    <r>
      <rPr>
        <i/>
        <sz val="12"/>
        <color theme="1"/>
        <rFont val="Calibri"/>
        <family val="2"/>
        <scheme val="minor"/>
      </rPr>
      <t>Qty × Amount</t>
    </r>
    <r>
      <rPr>
        <sz val="12"/>
        <color theme="1"/>
        <rFont val="Calibri"/>
        <family val="2"/>
        <scheme val="minor"/>
      </rPr>
      <t xml:space="preserve"> — represents total order value</t>
    </r>
  </si>
  <si>
    <t>KPI Name</t>
  </si>
  <si>
    <t>Total Sales (₹)</t>
  </si>
  <si>
    <t>Shows total revenue from all orders. This is the main business performance metric.</t>
  </si>
  <si>
    <t>Total Orders</t>
  </si>
  <si>
    <t>Total number of unique orders placed — helps track order volume.</t>
  </si>
  <si>
    <t>Total Quantity Sold</t>
  </si>
  <si>
    <t>Total number of products sold — helps see demand and sales movement.</t>
  </si>
  <si>
    <t>Average Order Value (AOV)</t>
  </si>
  <si>
    <t>Shows average revenue per order — a quality indicator for business performance.</t>
  </si>
  <si>
    <t>Category, Total Amount</t>
  </si>
  <si>
    <t>State, Total Amount</t>
  </si>
  <si>
    <t>Promotion IDs, Total Amount</t>
  </si>
  <si>
    <t>Overview</t>
  </si>
  <si>
    <t>Promotion Type</t>
  </si>
  <si>
    <t>Product</t>
  </si>
  <si>
    <t>Purpose / Insight</t>
  </si>
  <si>
    <t>Best-Selling Category</t>
  </si>
  <si>
    <t>Top Performing Size</t>
  </si>
  <si>
    <t>Top SKU by Sales</t>
  </si>
  <si>
    <t>Size, Total Amount</t>
  </si>
  <si>
    <t>Global KPI's</t>
  </si>
  <si>
    <t>Identifies the product category with the highest total sales.</t>
  </si>
  <si>
    <t>Highlights which product size sells the most.</t>
  </si>
  <si>
    <t>Shows the SKU that generates maximum revenue.</t>
  </si>
  <si>
    <t>Average Category Revenue (₹)</t>
  </si>
  <si>
    <t>Finds the average sales per category to compare overall product strength.</t>
  </si>
  <si>
    <t>Total Orders (Fulfilment)</t>
  </si>
  <si>
    <t>Shows how many total orders were processed.</t>
  </si>
  <si>
    <t>Avg Delivery Value (₹)</t>
  </si>
  <si>
    <t>Compares average order value handled by each fulfilment method.</t>
  </si>
  <si>
    <t>Delivered Orders %</t>
  </si>
  <si>
    <t>Tracks delivery efficiency — % of total delivered orders.</t>
  </si>
  <si>
    <t>Fulfilment, Total Amount</t>
  </si>
  <si>
    <t>Regional</t>
  </si>
  <si>
    <t>Top State by Sales</t>
  </si>
  <si>
    <t>Promotion</t>
  </si>
  <si>
    <t>Forcasting</t>
  </si>
  <si>
    <t>Stacked Column Chart</t>
  </si>
  <si>
    <t>Top City by Sales</t>
  </si>
  <si>
    <t>Avg Monthly Sales (₹)</t>
  </si>
  <si>
    <t>Shows the average sales per month to understand seasonality trends.</t>
  </si>
  <si>
    <t>Highest Sales Month</t>
  </si>
  <si>
    <t>Identifies which month achieved the highest total sales. Useful for detecting peak sales periods.</t>
  </si>
  <si>
    <t>Visual Name</t>
  </si>
  <si>
    <t>Sales Trend Over Time</t>
  </si>
  <si>
    <t>Line Chart</t>
  </si>
  <si>
    <t>Area Chart</t>
  </si>
  <si>
    <t>Fulfilment Type Trend</t>
  </si>
  <si>
    <t xml:space="preserve">Filters / Slicers </t>
  </si>
  <si>
    <t xml:space="preserve">Global Filters / Slicers </t>
  </si>
  <si>
    <t>Top 5 Category by Total Sales</t>
  </si>
  <si>
    <t>Promotion Type by Total Sales</t>
  </si>
  <si>
    <t>Name</t>
  </si>
  <si>
    <t>Fulfilment by Total Sales</t>
  </si>
  <si>
    <t>Monthly Sales Trend</t>
  </si>
  <si>
    <t>State Wise Total Sales</t>
  </si>
  <si>
    <t>Donut Chart</t>
  </si>
  <si>
    <t>Filed Map</t>
  </si>
  <si>
    <t>Stacked Bar Chart</t>
  </si>
  <si>
    <t>Month, Total Amount</t>
  </si>
  <si>
    <r>
      <t xml:space="preserve">Total Sales (₹) = 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Data'[Total Amount]</t>
    </r>
    <r>
      <rPr>
        <sz val="8"/>
        <color rgb="FF000000"/>
        <rFont val="Consolas"/>
        <family val="3"/>
      </rPr>
      <t>)</t>
    </r>
  </si>
  <si>
    <r>
      <t xml:space="preserve">Total Orders = </t>
    </r>
    <r>
      <rPr>
        <sz val="8"/>
        <color rgb="FF3165BB"/>
        <rFont val="Consolas"/>
        <family val="3"/>
      </rPr>
      <t>COUNTROWS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DISTINCT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Data'[Order ID]</t>
    </r>
    <r>
      <rPr>
        <sz val="8"/>
        <color rgb="FF000000"/>
        <rFont val="Consolas"/>
        <family val="3"/>
      </rPr>
      <t>))</t>
    </r>
  </si>
  <si>
    <r>
      <t xml:space="preserve">Total Quantity Sold = 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Data'[Qty]</t>
    </r>
    <r>
      <rPr>
        <sz val="8"/>
        <color rgb="FF000000"/>
        <rFont val="Consolas"/>
        <family val="3"/>
      </rPr>
      <t>)</t>
    </r>
  </si>
  <si>
    <r>
      <t xml:space="preserve">Average Order Value = </t>
    </r>
    <r>
      <rPr>
        <sz val="8"/>
        <color rgb="FF3165BB"/>
        <rFont val="Consolas"/>
        <family val="3"/>
      </rPr>
      <t>DIVIDE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SUM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Data'[Total Amount]</t>
    </r>
    <r>
      <rPr>
        <sz val="8"/>
        <color rgb="FF000000"/>
        <rFont val="Consolas"/>
        <family val="3"/>
      </rPr>
      <t xml:space="preserve">), </t>
    </r>
    <r>
      <rPr>
        <sz val="8"/>
        <color rgb="FF3165BB"/>
        <rFont val="Consolas"/>
        <family val="3"/>
      </rPr>
      <t>COUNTROWS</t>
    </r>
    <r>
      <rPr>
        <sz val="8"/>
        <color rgb="FF000000"/>
        <rFont val="Consolas"/>
        <family val="3"/>
      </rPr>
      <t>(</t>
    </r>
    <r>
      <rPr>
        <sz val="8"/>
        <color rgb="FF3165BB"/>
        <rFont val="Consolas"/>
        <family val="3"/>
      </rPr>
      <t>DISTINCT</t>
    </r>
    <r>
      <rPr>
        <sz val="8"/>
        <color rgb="FF000000"/>
        <rFont val="Consolas"/>
        <family val="3"/>
      </rPr>
      <t>(</t>
    </r>
    <r>
      <rPr>
        <sz val="8"/>
        <color rgb="FF001080"/>
        <rFont val="Consolas"/>
        <family val="3"/>
      </rPr>
      <t>'Amazon Sale Data'[Order ID]</t>
    </r>
    <r>
      <rPr>
        <sz val="8"/>
        <color rgb="FF000000"/>
        <rFont val="Consolas"/>
        <family val="3"/>
      </rPr>
      <t>)))</t>
    </r>
  </si>
  <si>
    <t>Top 3 SUK By Total Sales</t>
  </si>
  <si>
    <t>Total Sales By Size</t>
  </si>
  <si>
    <t>Qty By Month &amp; Category</t>
  </si>
  <si>
    <t>Total Sales By Category</t>
  </si>
  <si>
    <t>SUK, Total Amount</t>
  </si>
  <si>
    <t>SUK, Qty</t>
  </si>
  <si>
    <t>Top 3 SUK by Total Qty</t>
  </si>
  <si>
    <t>Qty, Month, Category</t>
  </si>
  <si>
    <t>FBA % Share</t>
  </si>
  <si>
    <t>FBM % Share</t>
  </si>
  <si>
    <t>FBA Sales (₹)</t>
  </si>
  <si>
    <t>FBM Sales (₹)</t>
  </si>
  <si>
    <t>Qty by Fulfilment</t>
  </si>
  <si>
    <t>Avg Delivery Value By Fulfilment</t>
  </si>
  <si>
    <t>Delivered Orders % by Month &amp; Year</t>
  </si>
  <si>
    <t>Qty by City &amp; Fulfilment</t>
  </si>
  <si>
    <t>FBM Share %</t>
  </si>
  <si>
    <t>FBA Share %</t>
  </si>
  <si>
    <t>Order Type, Total Amount</t>
  </si>
  <si>
    <t>City, Qty, Fulfilment</t>
  </si>
  <si>
    <t>Avg Delivery Value, Filfilment</t>
  </si>
  <si>
    <t>Delivered Order %, Month, Year</t>
  </si>
  <si>
    <t>Qty, Fulfilment</t>
  </si>
  <si>
    <r>
      <t xml:space="preserve">Identifies the </t>
    </r>
    <r>
      <rPr>
        <b/>
        <sz val="12"/>
        <color theme="1"/>
        <rFont val="Calibri"/>
        <family val="2"/>
        <scheme val="minor"/>
      </rPr>
      <t>State</t>
    </r>
    <r>
      <rPr>
        <sz val="12"/>
        <color theme="1"/>
        <rFont val="Calibri"/>
        <family val="2"/>
        <scheme val="minor"/>
      </rPr>
      <t xml:space="preserve"> that generates the </t>
    </r>
    <r>
      <rPr>
        <b/>
        <sz val="12"/>
        <color theme="1"/>
        <rFont val="Calibri"/>
        <family val="2"/>
        <scheme val="minor"/>
      </rPr>
      <t>highest total sales</t>
    </r>
    <r>
      <rPr>
        <sz val="12"/>
        <color theme="1"/>
        <rFont val="Calibri"/>
        <family val="2"/>
        <scheme val="minor"/>
      </rPr>
      <t>.</t>
    </r>
  </si>
  <si>
    <r>
      <t xml:space="preserve">Finds the </t>
    </r>
    <r>
      <rPr>
        <b/>
        <sz val="12"/>
        <color theme="1"/>
        <rFont val="Calibri"/>
        <family val="2"/>
        <scheme val="minor"/>
      </rPr>
      <t>City</t>
    </r>
    <r>
      <rPr>
        <sz val="12"/>
        <color theme="1"/>
        <rFont val="Calibri"/>
        <family val="2"/>
        <scheme val="minor"/>
      </rPr>
      <t xml:space="preserve"> with the </t>
    </r>
    <r>
      <rPr>
        <b/>
        <sz val="12"/>
        <color theme="1"/>
        <rFont val="Calibri"/>
        <family val="2"/>
        <scheme val="minor"/>
      </rPr>
      <t>maximum revenue contribution</t>
    </r>
    <r>
      <rPr>
        <sz val="12"/>
        <color theme="1"/>
        <rFont val="Calibri"/>
        <family val="2"/>
        <scheme val="minor"/>
      </rPr>
      <t>.</t>
    </r>
  </si>
  <si>
    <t>Sold Qty By State</t>
  </si>
  <si>
    <t>Top 5 State by Total Sales</t>
  </si>
  <si>
    <t>Top 5 City by Total Sales</t>
  </si>
  <si>
    <t>Bottom 5 State by Total Sales</t>
  </si>
  <si>
    <t>Table</t>
  </si>
  <si>
    <t>Map</t>
  </si>
  <si>
    <t>Regional Overview Table</t>
  </si>
  <si>
    <t>Qty, State</t>
  </si>
  <si>
    <t>State, Total Sales</t>
  </si>
  <si>
    <t>City, Total Sales</t>
  </si>
  <si>
    <t>State, City, Qty, Total Amount, Fulfilment</t>
  </si>
  <si>
    <t>Promotion Type % by Qty</t>
  </si>
  <si>
    <t>Sales by Month &amp; Promotion Type</t>
  </si>
  <si>
    <t>Sales by Size &amp; Qty</t>
  </si>
  <si>
    <t>Top 5 Promotion ID's by Qty</t>
  </si>
  <si>
    <t>Total Sales By Promotion Type</t>
  </si>
  <si>
    <t>Promotion Type, Qty</t>
  </si>
  <si>
    <t>Month, Promotion Type, Total Amount</t>
  </si>
  <si>
    <t>Total Amount, Size, Qty</t>
  </si>
  <si>
    <t>Promotion ID's, Qty</t>
  </si>
  <si>
    <t>Total Amount, Promotion Type</t>
  </si>
  <si>
    <t>Line &amp; Clustered Column Chart</t>
  </si>
  <si>
    <t>No Promotion % Share</t>
  </si>
  <si>
    <t>Promotion Applied % Share</t>
  </si>
  <si>
    <t>Business 2 Business</t>
  </si>
  <si>
    <t>Order Over Status</t>
  </si>
  <si>
    <t>Qty Trend Over Time</t>
  </si>
  <si>
    <t>Category Wise Monthly Trend</t>
  </si>
  <si>
    <t>Business To Business Trend</t>
  </si>
  <si>
    <t>Sales by Shipping Type &amp; Month</t>
  </si>
  <si>
    <t>Order Status Group, Qty</t>
  </si>
  <si>
    <t>Month, Qty</t>
  </si>
  <si>
    <t>Month, Total Amount, Category</t>
  </si>
  <si>
    <t>Month, Fulfilment, Total Amount</t>
  </si>
  <si>
    <t>B2B, Total Amount</t>
  </si>
  <si>
    <t>Month, Shipping Type, Total Amount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</si>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</sst>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Segoe UI Emoji"/>
      <family val="2"/>
    </font>
    <font>
      <b/>
      <sz val="14"/>
      <color theme="1"/>
      <name val="Calibri"/>
      <family val="2"/>
      <scheme val="minor"/>
    </font>
    <font>
      <b/>
      <sz val="14"/>
      <color theme="1"/>
      <name val="Segoe UI Emoji"/>
      <family val="2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Arial Unicode MS"/>
    </font>
    <font>
      <sz val="10"/>
      <color theme="1"/>
      <name val="Arial Unicode MS"/>
    </font>
    <font>
      <b/>
      <sz val="18"/>
      <color theme="0"/>
      <name val="Calibri"/>
      <family val="2"/>
      <scheme val="minor"/>
    </font>
    <font>
      <sz val="8"/>
      <color rgb="FF000000"/>
      <name val="Consolas"/>
      <family val="3"/>
    </font>
    <font>
      <sz val="8"/>
      <color rgb="FF3165BB"/>
      <name val="Consolas"/>
      <family val="3"/>
    </font>
    <font>
      <sz val="8"/>
      <color rgb="FF001080"/>
      <name val="Consolas"/>
      <family val="3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0" fillId="0" borderId="1" xfId="0" applyFont="1" applyBorder="1"/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3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0" fillId="0" borderId="1" xfId="0" applyBorder="1"/>
    <xf numFmtId="0" fontId="13" fillId="0" borderId="0" xfId="0" applyFont="1"/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4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left" vertical="center" wrapText="1"/>
    </xf>
    <xf numFmtId="0" fontId="10" fillId="4" borderId="0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0" xfId="0" applyFont="1" applyBorder="1" applyAlignment="1">
      <alignment vertical="center" wrapText="1"/>
    </xf>
    <xf numFmtId="0" fontId="3" fillId="0" borderId="0" xfId="0" applyFont="1" applyBorder="1" applyAlignment="1">
      <alignment vertical="center" wrapText="1"/>
    </xf>
    <xf numFmtId="0" fontId="0" fillId="0" borderId="0" xfId="0" applyBorder="1"/>
    <xf numFmtId="0" fontId="10" fillId="4" borderId="0" xfId="0" applyFont="1" applyFill="1" applyBorder="1" applyAlignment="1">
      <alignment vertical="center" wrapText="1"/>
    </xf>
    <xf numFmtId="0" fontId="3" fillId="4" borderId="0" xfId="0" applyFont="1" applyFill="1" applyBorder="1" applyAlignment="1">
      <alignment vertical="center" wrapText="1"/>
    </xf>
    <xf numFmtId="0" fontId="0" fillId="4" borderId="0" xfId="0" applyFill="1" applyBorder="1"/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10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2" fillId="0" borderId="1" xfId="0" applyFont="1" applyBorder="1"/>
    <xf numFmtId="0" fontId="0" fillId="0" borderId="0" xfId="0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Border="1"/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left" vertical="center" indent="1"/>
    </xf>
    <xf numFmtId="0" fontId="9" fillId="0" borderId="0" xfId="0" applyFont="1" applyBorder="1" applyAlignment="1">
      <alignment vertical="center" wrapText="1"/>
    </xf>
    <xf numFmtId="0" fontId="0" fillId="4" borderId="0" xfId="0" applyFill="1" applyBorder="1" applyAlignment="1">
      <alignment vertical="center" wrapText="1"/>
    </xf>
    <xf numFmtId="0" fontId="9" fillId="4" borderId="0" xfId="0" applyFont="1" applyFill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0" fillId="0" borderId="0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4" borderId="5" xfId="0" applyFill="1" applyBorder="1"/>
    <xf numFmtId="0" fontId="0" fillId="0" borderId="6" xfId="0" applyBorder="1"/>
    <xf numFmtId="0" fontId="3" fillId="10" borderId="7" xfId="0" applyFont="1" applyFill="1" applyBorder="1" applyAlignment="1">
      <alignment horizontal="left" vertical="center" wrapText="1"/>
    </xf>
    <xf numFmtId="0" fontId="19" fillId="0" borderId="7" xfId="1" applyFont="1" applyBorder="1"/>
    <xf numFmtId="0" fontId="10" fillId="0" borderId="7" xfId="0" applyFont="1" applyBorder="1"/>
    <xf numFmtId="0" fontId="0" fillId="4" borderId="6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4" borderId="6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B@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6E2D-EEAD-4E4A-8798-C3B53E352FF0}">
  <dimension ref="B3:H30"/>
  <sheetViews>
    <sheetView tabSelected="1" topLeftCell="A3" workbookViewId="0">
      <selection activeCell="H29" sqref="H29"/>
    </sheetView>
  </sheetViews>
  <sheetFormatPr defaultRowHeight="14.4"/>
  <cols>
    <col min="2" max="2" width="7.77734375" bestFit="1" customWidth="1"/>
    <col min="3" max="3" width="28.77734375" bestFit="1" customWidth="1"/>
    <col min="4" max="4" width="43" customWidth="1"/>
    <col min="5" max="5" width="41.88671875" bestFit="1" customWidth="1"/>
    <col min="6" max="6" width="7.77734375" bestFit="1" customWidth="1"/>
    <col min="7" max="7" width="28.21875" bestFit="1" customWidth="1"/>
    <col min="8" max="8" width="36.77734375" bestFit="1" customWidth="1"/>
  </cols>
  <sheetData>
    <row r="3" spans="2:8" ht="25.8">
      <c r="E3" s="1" t="s">
        <v>0</v>
      </c>
    </row>
    <row r="4" spans="2:8" ht="21">
      <c r="C4" s="2" t="s">
        <v>1</v>
      </c>
      <c r="G4" s="22" t="s">
        <v>2</v>
      </c>
    </row>
    <row r="6" spans="2:8" ht="15.6">
      <c r="B6" s="3" t="s">
        <v>3</v>
      </c>
      <c r="C6" s="3" t="s">
        <v>4</v>
      </c>
      <c r="D6" s="3" t="s">
        <v>5</v>
      </c>
      <c r="F6" s="4" t="s">
        <v>3</v>
      </c>
      <c r="G6" s="4" t="s">
        <v>4</v>
      </c>
      <c r="H6" s="4" t="s">
        <v>5</v>
      </c>
    </row>
    <row r="7" spans="2:8" ht="15.6">
      <c r="B7" s="19">
        <v>1</v>
      </c>
      <c r="C7" s="21" t="s">
        <v>46</v>
      </c>
      <c r="D7" s="20" t="s">
        <v>70</v>
      </c>
      <c r="F7" s="19">
        <v>1</v>
      </c>
      <c r="G7" s="23" t="s">
        <v>26</v>
      </c>
      <c r="H7" s="24" t="s">
        <v>71</v>
      </c>
    </row>
    <row r="8" spans="2:8" ht="31.2">
      <c r="B8" s="19">
        <v>2</v>
      </c>
      <c r="C8" s="21" t="s">
        <v>26</v>
      </c>
      <c r="D8" s="20" t="s">
        <v>71</v>
      </c>
      <c r="F8" s="19">
        <v>2</v>
      </c>
      <c r="G8" s="23" t="s">
        <v>27</v>
      </c>
      <c r="H8" s="24" t="s">
        <v>102</v>
      </c>
    </row>
    <row r="9" spans="2:8" ht="15.6">
      <c r="B9" s="19">
        <v>3</v>
      </c>
      <c r="C9" s="21" t="s">
        <v>27</v>
      </c>
      <c r="D9" s="20" t="s">
        <v>72</v>
      </c>
      <c r="F9" s="19">
        <v>3</v>
      </c>
      <c r="G9" s="23" t="s">
        <v>42</v>
      </c>
      <c r="H9" s="24" t="s">
        <v>103</v>
      </c>
    </row>
    <row r="10" spans="2:8" ht="31.2">
      <c r="B10" s="19">
        <v>4</v>
      </c>
      <c r="C10" s="21" t="s">
        <v>28</v>
      </c>
      <c r="D10" s="20" t="s">
        <v>73</v>
      </c>
      <c r="F10" s="19">
        <v>4</v>
      </c>
      <c r="G10" s="23" t="s">
        <v>43</v>
      </c>
      <c r="H10" s="24" t="s">
        <v>104</v>
      </c>
    </row>
    <row r="11" spans="2:8" ht="31.2">
      <c r="B11" s="19">
        <v>5</v>
      </c>
      <c r="C11" s="21" t="s">
        <v>29</v>
      </c>
      <c r="D11" s="20" t="s">
        <v>74</v>
      </c>
      <c r="F11" s="19">
        <v>5</v>
      </c>
      <c r="G11" s="23" t="s">
        <v>67</v>
      </c>
      <c r="H11" s="24" t="s">
        <v>105</v>
      </c>
    </row>
    <row r="12" spans="2:8" ht="31.2">
      <c r="B12" s="19">
        <v>6</v>
      </c>
      <c r="C12" s="21" t="s">
        <v>30</v>
      </c>
      <c r="D12" s="20" t="s">
        <v>75</v>
      </c>
      <c r="F12" s="19">
        <v>6</v>
      </c>
      <c r="G12" s="23" t="s">
        <v>28</v>
      </c>
      <c r="H12" s="24" t="s">
        <v>106</v>
      </c>
    </row>
    <row r="13" spans="2:8" ht="31.2">
      <c r="B13" s="19">
        <v>7</v>
      </c>
      <c r="C13" s="21" t="s">
        <v>76</v>
      </c>
      <c r="D13" s="20" t="s">
        <v>77</v>
      </c>
      <c r="F13" s="19">
        <v>7</v>
      </c>
      <c r="G13" s="23" t="s">
        <v>69</v>
      </c>
      <c r="H13" s="24" t="s">
        <v>107</v>
      </c>
    </row>
    <row r="14" spans="2:8" ht="31.2">
      <c r="B14" s="19">
        <v>8</v>
      </c>
      <c r="C14" s="21" t="s">
        <v>47</v>
      </c>
      <c r="D14" s="20" t="s">
        <v>78</v>
      </c>
      <c r="F14" s="19">
        <v>8</v>
      </c>
      <c r="G14" s="23" t="s">
        <v>29</v>
      </c>
      <c r="H14" s="24" t="s">
        <v>74</v>
      </c>
    </row>
    <row r="15" spans="2:8" ht="31.2">
      <c r="B15" s="19">
        <v>9</v>
      </c>
      <c r="C15" s="21" t="s">
        <v>79</v>
      </c>
      <c r="D15" s="20" t="s">
        <v>80</v>
      </c>
      <c r="F15" s="19">
        <v>9</v>
      </c>
      <c r="G15" s="23" t="s">
        <v>39</v>
      </c>
      <c r="H15" s="24" t="s">
        <v>108</v>
      </c>
    </row>
    <row r="16" spans="2:8" ht="31.2">
      <c r="B16" s="19">
        <v>10</v>
      </c>
      <c r="C16" s="21" t="s">
        <v>31</v>
      </c>
      <c r="D16" s="20" t="s">
        <v>81</v>
      </c>
      <c r="F16" s="19">
        <v>10</v>
      </c>
      <c r="G16" s="23" t="s">
        <v>68</v>
      </c>
      <c r="H16" s="24" t="s">
        <v>121</v>
      </c>
    </row>
    <row r="17" spans="2:8" ht="31.2">
      <c r="B17" s="19">
        <v>11</v>
      </c>
      <c r="C17" s="21" t="s">
        <v>32</v>
      </c>
      <c r="D17" s="20" t="s">
        <v>82</v>
      </c>
      <c r="F17" s="19">
        <v>11</v>
      </c>
      <c r="G17" s="23" t="s">
        <v>79</v>
      </c>
      <c r="H17" s="24" t="s">
        <v>109</v>
      </c>
    </row>
    <row r="18" spans="2:8" ht="31.2">
      <c r="B18" s="19">
        <v>12</v>
      </c>
      <c r="C18" s="21" t="s">
        <v>48</v>
      </c>
      <c r="D18" s="20" t="s">
        <v>83</v>
      </c>
      <c r="F18" s="19">
        <v>12</v>
      </c>
      <c r="G18" s="23" t="s">
        <v>31</v>
      </c>
      <c r="H18" s="24" t="s">
        <v>110</v>
      </c>
    </row>
    <row r="19" spans="2:8" ht="15.6">
      <c r="B19" s="19">
        <v>13</v>
      </c>
      <c r="C19" s="21" t="s">
        <v>84</v>
      </c>
      <c r="D19" s="20" t="s">
        <v>85</v>
      </c>
      <c r="F19" s="19">
        <v>13</v>
      </c>
      <c r="G19" s="23" t="s">
        <v>32</v>
      </c>
      <c r="H19" s="24" t="s">
        <v>111</v>
      </c>
    </row>
    <row r="20" spans="2:8" ht="15.6">
      <c r="B20" s="19">
        <v>14</v>
      </c>
      <c r="C20" s="21" t="s">
        <v>33</v>
      </c>
      <c r="D20" s="20" t="s">
        <v>40</v>
      </c>
      <c r="F20" s="19">
        <v>14</v>
      </c>
      <c r="G20" s="23" t="s">
        <v>84</v>
      </c>
      <c r="H20" s="24" t="s">
        <v>116</v>
      </c>
    </row>
    <row r="21" spans="2:8" ht="15.6">
      <c r="B21" s="19">
        <v>15</v>
      </c>
      <c r="C21" s="21" t="s">
        <v>86</v>
      </c>
      <c r="D21" s="20" t="s">
        <v>87</v>
      </c>
      <c r="F21" s="19">
        <v>15</v>
      </c>
      <c r="G21" s="23" t="s">
        <v>33</v>
      </c>
      <c r="H21" s="24" t="s">
        <v>112</v>
      </c>
    </row>
    <row r="22" spans="2:8" ht="31.2">
      <c r="B22" s="19">
        <v>16</v>
      </c>
      <c r="C22" s="21" t="s">
        <v>34</v>
      </c>
      <c r="D22" s="20" t="s">
        <v>41</v>
      </c>
      <c r="F22" s="19">
        <v>16</v>
      </c>
      <c r="G22" s="23" t="s">
        <v>34</v>
      </c>
      <c r="H22" s="24" t="s">
        <v>114</v>
      </c>
    </row>
    <row r="23" spans="2:8" ht="31.2">
      <c r="B23" s="19">
        <v>17</v>
      </c>
      <c r="C23" s="21" t="s">
        <v>88</v>
      </c>
      <c r="D23" s="20" t="s">
        <v>89</v>
      </c>
      <c r="F23" s="19">
        <v>17</v>
      </c>
      <c r="G23" s="23" t="s">
        <v>59</v>
      </c>
      <c r="H23" s="24" t="s">
        <v>122</v>
      </c>
    </row>
    <row r="24" spans="2:8" ht="15.6">
      <c r="B24" s="19">
        <v>18</v>
      </c>
      <c r="C24" s="21" t="s">
        <v>90</v>
      </c>
      <c r="D24" s="20" t="s">
        <v>91</v>
      </c>
      <c r="F24" s="19">
        <v>18</v>
      </c>
      <c r="G24" s="23" t="s">
        <v>35</v>
      </c>
      <c r="H24" s="24" t="s">
        <v>89</v>
      </c>
    </row>
    <row r="25" spans="2:8" ht="15.6">
      <c r="B25" s="19">
        <v>19</v>
      </c>
      <c r="C25" s="21" t="s">
        <v>49</v>
      </c>
      <c r="D25" s="20" t="s">
        <v>92</v>
      </c>
      <c r="F25" s="19">
        <v>19</v>
      </c>
      <c r="G25" s="23" t="s">
        <v>36</v>
      </c>
      <c r="H25" s="24" t="s">
        <v>91</v>
      </c>
    </row>
    <row r="26" spans="2:8" ht="31.2">
      <c r="B26" s="19">
        <v>20</v>
      </c>
      <c r="C26" s="21" t="s">
        <v>93</v>
      </c>
      <c r="D26" s="20" t="s">
        <v>94</v>
      </c>
      <c r="F26" s="19">
        <v>20</v>
      </c>
      <c r="G26" s="23" t="s">
        <v>117</v>
      </c>
      <c r="H26" s="24" t="s">
        <v>118</v>
      </c>
    </row>
    <row r="27" spans="2:8" ht="31.2">
      <c r="B27" s="19">
        <v>21</v>
      </c>
      <c r="C27" s="21" t="s">
        <v>95</v>
      </c>
      <c r="D27" s="20" t="s">
        <v>96</v>
      </c>
      <c r="F27" s="19">
        <v>21</v>
      </c>
      <c r="G27" s="23" t="s">
        <v>97</v>
      </c>
      <c r="H27" s="24" t="s">
        <v>119</v>
      </c>
    </row>
    <row r="28" spans="2:8" ht="31.2">
      <c r="B28" s="19">
        <v>22</v>
      </c>
      <c r="C28" s="21" t="s">
        <v>97</v>
      </c>
      <c r="D28" s="20" t="s">
        <v>98</v>
      </c>
      <c r="F28" s="19">
        <v>22</v>
      </c>
      <c r="G28" s="23" t="s">
        <v>38</v>
      </c>
      <c r="H28" s="24" t="s">
        <v>115</v>
      </c>
    </row>
    <row r="29" spans="2:8" ht="31.2">
      <c r="B29" s="19">
        <v>23</v>
      </c>
      <c r="C29" s="21" t="s">
        <v>99</v>
      </c>
      <c r="D29" s="20" t="s">
        <v>100</v>
      </c>
      <c r="F29" s="19">
        <v>23</v>
      </c>
      <c r="G29" s="27" t="s">
        <v>136</v>
      </c>
      <c r="H29" s="18"/>
    </row>
    <row r="30" spans="2:8" ht="31.2">
      <c r="B30" s="19">
        <v>24</v>
      </c>
      <c r="C30" s="21" t="s">
        <v>50</v>
      </c>
      <c r="D30" s="20" t="s">
        <v>101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ADD15-B19C-416D-8A8B-7194E6C0A6D6}">
  <dimension ref="B3:K26"/>
  <sheetViews>
    <sheetView topLeftCell="A3" workbookViewId="0">
      <selection activeCell="D23" sqref="D23:D25"/>
    </sheetView>
  </sheetViews>
  <sheetFormatPr defaultRowHeight="14.4"/>
  <cols>
    <col min="2" max="2" width="7.109375" bestFit="1" customWidth="1"/>
    <col min="3" max="3" width="37.77734375" bestFit="1" customWidth="1"/>
    <col min="4" max="4" width="42.21875" bestFit="1" customWidth="1"/>
    <col min="5" max="5" width="7.109375" bestFit="1" customWidth="1"/>
    <col min="6" max="6" width="12.6640625" bestFit="1" customWidth="1"/>
    <col min="7" max="7" width="11.21875" bestFit="1" customWidth="1"/>
    <col min="8" max="8" width="13.21875" bestFit="1" customWidth="1"/>
    <col min="9" max="9" width="10.6640625" bestFit="1" customWidth="1"/>
    <col min="10" max="10" width="9.21875" bestFit="1" customWidth="1"/>
    <col min="11" max="11" width="16.33203125" bestFit="1" customWidth="1"/>
  </cols>
  <sheetData>
    <row r="3" spans="2:11" ht="25.8">
      <c r="D3" s="1" t="s">
        <v>6</v>
      </c>
    </row>
    <row r="5" spans="2:11" ht="15.6">
      <c r="B5" s="5" t="s">
        <v>7</v>
      </c>
      <c r="C5" s="5" t="s">
        <v>8</v>
      </c>
      <c r="D5" s="6"/>
      <c r="E5" s="7" t="s">
        <v>7</v>
      </c>
      <c r="F5" s="8" t="s">
        <v>9</v>
      </c>
      <c r="G5" s="8" t="s">
        <v>10</v>
      </c>
      <c r="H5" s="8" t="s">
        <v>11</v>
      </c>
      <c r="I5" s="9" t="s">
        <v>12</v>
      </c>
      <c r="J5" s="9" t="s">
        <v>13</v>
      </c>
      <c r="K5" s="9" t="s">
        <v>14</v>
      </c>
    </row>
    <row r="6" spans="2:11" ht="15.6">
      <c r="B6" s="17">
        <v>0</v>
      </c>
      <c r="C6" s="17" t="s">
        <v>44</v>
      </c>
      <c r="E6" s="18">
        <v>0</v>
      </c>
      <c r="F6" s="18">
        <v>128975</v>
      </c>
      <c r="G6" s="18">
        <v>128975</v>
      </c>
      <c r="H6" s="18">
        <v>0</v>
      </c>
      <c r="I6" s="18">
        <v>24</v>
      </c>
      <c r="J6" s="18">
        <v>24</v>
      </c>
      <c r="K6" s="18">
        <v>0</v>
      </c>
    </row>
    <row r="7" spans="2:11" ht="15.6">
      <c r="B7" s="17">
        <v>1</v>
      </c>
      <c r="C7" s="17" t="s">
        <v>45</v>
      </c>
      <c r="D7" t="s">
        <v>46</v>
      </c>
      <c r="E7" s="18">
        <v>1</v>
      </c>
      <c r="F7" s="18">
        <v>128975</v>
      </c>
      <c r="G7" s="18">
        <v>128975</v>
      </c>
      <c r="H7" s="18">
        <v>0</v>
      </c>
      <c r="I7" s="18">
        <v>24</v>
      </c>
      <c r="J7" s="18">
        <v>23</v>
      </c>
      <c r="K7" s="18">
        <v>1</v>
      </c>
    </row>
    <row r="8" spans="2:11" ht="15.6">
      <c r="B8" s="17">
        <v>2</v>
      </c>
      <c r="C8" s="17" t="s">
        <v>45</v>
      </c>
      <c r="D8" t="s">
        <v>47</v>
      </c>
      <c r="E8" s="18">
        <v>2</v>
      </c>
      <c r="F8" s="18">
        <v>128975</v>
      </c>
      <c r="G8" s="18">
        <v>128975</v>
      </c>
      <c r="H8" s="18">
        <v>0</v>
      </c>
      <c r="I8" s="18">
        <v>23</v>
      </c>
      <c r="J8" s="18">
        <v>22</v>
      </c>
      <c r="K8" s="18">
        <v>1</v>
      </c>
    </row>
    <row r="9" spans="2:11" ht="15.6">
      <c r="B9" s="17">
        <v>3</v>
      </c>
      <c r="C9" s="17" t="s">
        <v>45</v>
      </c>
      <c r="D9" t="s">
        <v>48</v>
      </c>
      <c r="E9" s="18">
        <v>3</v>
      </c>
      <c r="F9" s="18">
        <v>128975</v>
      </c>
      <c r="G9" s="18">
        <v>128975</v>
      </c>
      <c r="H9" s="18">
        <v>0</v>
      </c>
      <c r="I9" s="18">
        <v>22</v>
      </c>
      <c r="J9" s="18">
        <v>21</v>
      </c>
      <c r="K9" s="18">
        <v>1</v>
      </c>
    </row>
    <row r="10" spans="2:11" ht="15.6">
      <c r="B10" s="17">
        <v>4</v>
      </c>
      <c r="C10" s="17" t="s">
        <v>45</v>
      </c>
      <c r="D10" t="s">
        <v>49</v>
      </c>
      <c r="E10" s="18">
        <v>4</v>
      </c>
      <c r="F10" s="18">
        <v>128975</v>
      </c>
      <c r="G10" s="18">
        <v>128975</v>
      </c>
      <c r="H10" s="18">
        <v>0</v>
      </c>
      <c r="I10" s="18">
        <v>21</v>
      </c>
      <c r="J10" s="18">
        <v>20</v>
      </c>
      <c r="K10" s="18">
        <v>1</v>
      </c>
    </row>
    <row r="11" spans="2:11" ht="15.6">
      <c r="B11" s="17">
        <v>5</v>
      </c>
      <c r="C11" s="17" t="s">
        <v>45</v>
      </c>
      <c r="D11" t="s">
        <v>50</v>
      </c>
      <c r="E11" s="18">
        <v>5</v>
      </c>
      <c r="F11" s="18">
        <v>128975</v>
      </c>
      <c r="G11" s="18">
        <v>128975</v>
      </c>
      <c r="H11" s="18">
        <v>0</v>
      </c>
      <c r="I11" s="18">
        <v>20</v>
      </c>
      <c r="J11" s="18">
        <v>19</v>
      </c>
      <c r="K11" s="18">
        <v>1</v>
      </c>
    </row>
    <row r="12" spans="2:11" ht="15.6">
      <c r="B12" s="17">
        <v>6</v>
      </c>
      <c r="C12" s="17" t="s">
        <v>51</v>
      </c>
      <c r="D12" s="16"/>
      <c r="E12" s="18">
        <v>6</v>
      </c>
      <c r="F12" s="18">
        <f t="shared" ref="F12:F18" si="0">G11</f>
        <v>128975</v>
      </c>
      <c r="G12" s="18">
        <v>128975</v>
      </c>
      <c r="H12" s="18">
        <v>0</v>
      </c>
      <c r="I12" s="18">
        <v>19</v>
      </c>
      <c r="J12" s="18">
        <v>19</v>
      </c>
      <c r="K12" s="18">
        <v>0</v>
      </c>
    </row>
    <row r="13" spans="2:11" ht="15.6">
      <c r="B13" s="17">
        <v>7</v>
      </c>
      <c r="C13" s="17" t="s">
        <v>52</v>
      </c>
      <c r="D13" s="16"/>
      <c r="E13" s="18">
        <v>7</v>
      </c>
      <c r="F13" s="18">
        <f t="shared" si="0"/>
        <v>128975</v>
      </c>
      <c r="G13" s="18">
        <v>128975</v>
      </c>
      <c r="H13" s="18">
        <v>0</v>
      </c>
      <c r="I13" s="18">
        <v>19</v>
      </c>
      <c r="J13" s="18">
        <v>19</v>
      </c>
      <c r="K13" s="18">
        <v>0</v>
      </c>
    </row>
    <row r="14" spans="2:11" ht="15.6">
      <c r="B14" s="17">
        <v>8</v>
      </c>
      <c r="C14" s="17" t="s">
        <v>53</v>
      </c>
      <c r="E14" s="18">
        <v>8</v>
      </c>
      <c r="F14" s="18">
        <f t="shared" si="0"/>
        <v>128975</v>
      </c>
      <c r="G14" s="18">
        <v>128969</v>
      </c>
      <c r="H14" s="18">
        <f>F14-G14</f>
        <v>6</v>
      </c>
      <c r="I14" s="18">
        <v>19</v>
      </c>
      <c r="J14" s="18">
        <v>19</v>
      </c>
      <c r="K14" s="18">
        <v>0</v>
      </c>
    </row>
    <row r="15" spans="2:11" ht="15.6">
      <c r="B15" s="17">
        <v>9</v>
      </c>
      <c r="C15" s="17" t="s">
        <v>56</v>
      </c>
      <c r="D15" t="s">
        <v>55</v>
      </c>
      <c r="E15" s="18">
        <v>9</v>
      </c>
      <c r="F15" s="18">
        <f t="shared" si="0"/>
        <v>128969</v>
      </c>
      <c r="G15" s="18">
        <v>116165</v>
      </c>
      <c r="H15" s="18">
        <f>F15-G15</f>
        <v>12804</v>
      </c>
      <c r="I15" s="18">
        <v>19</v>
      </c>
      <c r="J15" s="18">
        <v>19</v>
      </c>
      <c r="K15" s="18">
        <v>0</v>
      </c>
    </row>
    <row r="16" spans="2:11" ht="15.6">
      <c r="B16" s="17">
        <v>10</v>
      </c>
      <c r="C16" s="17" t="s">
        <v>58</v>
      </c>
      <c r="D16" t="s">
        <v>59</v>
      </c>
      <c r="E16" s="18">
        <v>10</v>
      </c>
      <c r="F16" s="18">
        <f t="shared" si="0"/>
        <v>116165</v>
      </c>
      <c r="G16" s="18">
        <v>116165</v>
      </c>
      <c r="H16" s="18">
        <v>0</v>
      </c>
      <c r="I16" s="18">
        <v>19</v>
      </c>
      <c r="J16" s="18">
        <v>20</v>
      </c>
      <c r="K16" s="18">
        <v>1</v>
      </c>
    </row>
    <row r="17" spans="2:11" ht="15.6">
      <c r="B17" s="17">
        <v>11</v>
      </c>
      <c r="C17" s="17" t="s">
        <v>60</v>
      </c>
      <c r="D17" t="s">
        <v>61</v>
      </c>
      <c r="E17" s="18">
        <v>11</v>
      </c>
      <c r="F17" s="18">
        <f t="shared" si="0"/>
        <v>116165</v>
      </c>
      <c r="G17" s="18">
        <v>113698</v>
      </c>
      <c r="H17" s="18">
        <f>F17-G17</f>
        <v>2467</v>
      </c>
      <c r="I17" s="18">
        <v>20</v>
      </c>
      <c r="J17" s="18">
        <v>20</v>
      </c>
      <c r="K17" s="18">
        <v>0</v>
      </c>
    </row>
    <row r="18" spans="2:11" ht="15.6">
      <c r="B18" s="17">
        <v>12</v>
      </c>
      <c r="C18" s="17" t="s">
        <v>58</v>
      </c>
      <c r="D18" t="s">
        <v>42</v>
      </c>
      <c r="E18" s="18">
        <v>12</v>
      </c>
      <c r="F18" s="18">
        <f t="shared" si="0"/>
        <v>113698</v>
      </c>
      <c r="G18" s="18">
        <v>113698</v>
      </c>
      <c r="H18" s="18">
        <v>0</v>
      </c>
      <c r="I18" s="18">
        <v>20</v>
      </c>
      <c r="J18" s="18">
        <v>21</v>
      </c>
      <c r="K18" s="18">
        <v>1</v>
      </c>
    </row>
    <row r="19" spans="2:11" ht="15.6">
      <c r="B19" s="17">
        <v>13</v>
      </c>
      <c r="C19" s="17" t="s">
        <v>58</v>
      </c>
      <c r="D19" t="s">
        <v>43</v>
      </c>
      <c r="E19" s="18">
        <v>13</v>
      </c>
      <c r="F19" s="18">
        <f t="shared" ref="F19:F22" si="1">G18</f>
        <v>113698</v>
      </c>
      <c r="G19" s="18">
        <v>113698</v>
      </c>
      <c r="H19" s="18">
        <v>0</v>
      </c>
      <c r="I19" s="18">
        <v>21</v>
      </c>
      <c r="J19" s="18">
        <v>22</v>
      </c>
      <c r="K19" s="18">
        <v>1</v>
      </c>
    </row>
    <row r="20" spans="2:11" ht="15.6">
      <c r="B20" s="17">
        <v>14</v>
      </c>
      <c r="C20" s="17" t="s">
        <v>58</v>
      </c>
      <c r="D20" t="s">
        <v>67</v>
      </c>
      <c r="E20" s="18">
        <v>14</v>
      </c>
      <c r="F20" s="18">
        <f t="shared" si="1"/>
        <v>113698</v>
      </c>
      <c r="G20" s="18">
        <v>113698</v>
      </c>
      <c r="H20" s="18">
        <v>0</v>
      </c>
      <c r="I20" s="18">
        <v>22</v>
      </c>
      <c r="J20" s="18">
        <v>23</v>
      </c>
      <c r="K20" s="18">
        <v>1</v>
      </c>
    </row>
    <row r="21" spans="2:11" ht="15.6">
      <c r="B21" s="17">
        <v>15</v>
      </c>
      <c r="C21" s="17" t="s">
        <v>58</v>
      </c>
      <c r="D21" t="s">
        <v>68</v>
      </c>
      <c r="E21" s="18">
        <v>15</v>
      </c>
      <c r="F21" s="18">
        <f t="shared" si="1"/>
        <v>113698</v>
      </c>
      <c r="G21" s="18">
        <v>113698</v>
      </c>
      <c r="H21" s="18">
        <v>0</v>
      </c>
      <c r="I21" s="18">
        <v>23</v>
      </c>
      <c r="J21" s="18">
        <v>24</v>
      </c>
      <c r="K21" s="18">
        <v>1</v>
      </c>
    </row>
    <row r="22" spans="2:11" ht="15.6">
      <c r="B22" s="17">
        <v>16</v>
      </c>
      <c r="C22" s="17" t="s">
        <v>58</v>
      </c>
      <c r="D22" t="s">
        <v>69</v>
      </c>
      <c r="E22" s="18">
        <v>16</v>
      </c>
      <c r="F22" s="18">
        <f t="shared" si="1"/>
        <v>113698</v>
      </c>
      <c r="G22" s="18">
        <v>113698</v>
      </c>
      <c r="H22" s="18">
        <v>0</v>
      </c>
      <c r="I22" s="18">
        <v>24</v>
      </c>
      <c r="J22" s="18">
        <v>25</v>
      </c>
      <c r="K22" s="18">
        <v>1</v>
      </c>
    </row>
    <row r="23" spans="2:11" ht="15.6">
      <c r="B23" s="17">
        <v>17</v>
      </c>
      <c r="C23" s="17" t="s">
        <v>45</v>
      </c>
      <c r="D23" t="s">
        <v>120</v>
      </c>
      <c r="E23" s="18">
        <v>17</v>
      </c>
      <c r="F23" s="18">
        <f>G22</f>
        <v>113698</v>
      </c>
      <c r="G23" s="18">
        <v>113698</v>
      </c>
      <c r="H23" s="18">
        <v>0</v>
      </c>
      <c r="I23" s="18">
        <v>25</v>
      </c>
      <c r="J23" s="18">
        <v>24</v>
      </c>
      <c r="K23" s="18">
        <v>1</v>
      </c>
    </row>
    <row r="24" spans="2:11" ht="15.6">
      <c r="B24" s="17">
        <v>18</v>
      </c>
      <c r="C24" s="17" t="s">
        <v>45</v>
      </c>
      <c r="D24" t="s">
        <v>113</v>
      </c>
      <c r="E24" s="18">
        <v>18</v>
      </c>
      <c r="F24" s="18">
        <f>G23</f>
        <v>113698</v>
      </c>
      <c r="G24" s="18">
        <v>113698</v>
      </c>
      <c r="H24" s="18">
        <v>0</v>
      </c>
      <c r="I24" s="18">
        <v>24</v>
      </c>
      <c r="J24" s="18">
        <v>23</v>
      </c>
      <c r="K24" s="18">
        <v>1</v>
      </c>
    </row>
    <row r="25" spans="2:11" ht="15.6">
      <c r="B25" s="17">
        <v>19</v>
      </c>
      <c r="C25" s="17" t="s">
        <v>45</v>
      </c>
      <c r="D25" t="s">
        <v>37</v>
      </c>
      <c r="E25" s="18">
        <v>19</v>
      </c>
      <c r="F25" s="18">
        <f>G24</f>
        <v>113698</v>
      </c>
      <c r="G25" s="18">
        <v>113698</v>
      </c>
      <c r="H25" s="18">
        <v>0</v>
      </c>
      <c r="I25" s="18">
        <v>13</v>
      </c>
      <c r="J25" s="18">
        <v>22</v>
      </c>
      <c r="K25" s="18">
        <v>1</v>
      </c>
    </row>
    <row r="26" spans="2:11" ht="15.6">
      <c r="B26" s="17">
        <v>20</v>
      </c>
      <c r="C26" s="17" t="s">
        <v>58</v>
      </c>
      <c r="D26" s="26" t="s">
        <v>136</v>
      </c>
      <c r="E26" s="18">
        <v>20</v>
      </c>
      <c r="F26" s="18">
        <f>G25</f>
        <v>113698</v>
      </c>
      <c r="G26" s="18">
        <v>113698</v>
      </c>
      <c r="H26" s="18">
        <v>0</v>
      </c>
      <c r="I26" s="18">
        <v>22</v>
      </c>
      <c r="J26" s="18">
        <v>23</v>
      </c>
      <c r="K26" s="1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BDA-2918-4347-B5CD-94210A58680A}">
  <dimension ref="B3:J20"/>
  <sheetViews>
    <sheetView topLeftCell="H1" workbookViewId="0">
      <selection activeCell="J18" sqref="J18"/>
    </sheetView>
  </sheetViews>
  <sheetFormatPr defaultRowHeight="14.4"/>
  <cols>
    <col min="2" max="2" width="7.109375" bestFit="1" customWidth="1"/>
    <col min="3" max="3" width="19.33203125" bestFit="1" customWidth="1"/>
    <col min="4" max="4" width="51.33203125" bestFit="1" customWidth="1"/>
    <col min="10" max="10" width="190.6640625" bestFit="1" customWidth="1"/>
  </cols>
  <sheetData>
    <row r="3" spans="2:10" ht="25.8">
      <c r="D3" s="10" t="s">
        <v>15</v>
      </c>
    </row>
    <row r="5" spans="2:10" ht="15.6">
      <c r="B5" s="4" t="s">
        <v>7</v>
      </c>
      <c r="C5" s="4" t="s">
        <v>4</v>
      </c>
      <c r="D5" s="4" t="s">
        <v>16</v>
      </c>
    </row>
    <row r="6" spans="2:10" ht="15.6">
      <c r="B6" s="17">
        <v>1</v>
      </c>
      <c r="C6" s="17" t="s">
        <v>46</v>
      </c>
      <c r="D6" s="17" t="s">
        <v>45</v>
      </c>
    </row>
    <row r="7" spans="2:10" ht="15.6">
      <c r="B7" s="17">
        <v>2</v>
      </c>
      <c r="C7" s="17" t="s">
        <v>47</v>
      </c>
      <c r="D7" s="17" t="s">
        <v>45</v>
      </c>
      <c r="I7">
        <v>1</v>
      </c>
      <c r="J7" t="s">
        <v>54</v>
      </c>
    </row>
    <row r="8" spans="2:10" ht="15.6">
      <c r="B8" s="17">
        <v>3</v>
      </c>
      <c r="C8" s="17" t="s">
        <v>48</v>
      </c>
      <c r="D8" s="17" t="s">
        <v>45</v>
      </c>
      <c r="I8">
        <v>2</v>
      </c>
      <c r="J8" t="s">
        <v>57</v>
      </c>
    </row>
    <row r="9" spans="2:10" ht="15.6">
      <c r="B9" s="17">
        <v>4</v>
      </c>
      <c r="C9" s="17" t="s">
        <v>49</v>
      </c>
      <c r="D9" s="17" t="s">
        <v>45</v>
      </c>
      <c r="I9">
        <v>3</v>
      </c>
      <c r="J9" t="s">
        <v>64</v>
      </c>
    </row>
    <row r="10" spans="2:10" ht="15.6">
      <c r="B10" s="17">
        <v>5</v>
      </c>
      <c r="C10" s="17" t="s">
        <v>50</v>
      </c>
      <c r="D10" s="17" t="s">
        <v>45</v>
      </c>
      <c r="I10">
        <v>4</v>
      </c>
      <c r="J10" t="s">
        <v>62</v>
      </c>
    </row>
    <row r="11" spans="2:10" ht="15.6">
      <c r="B11" s="17">
        <v>6</v>
      </c>
      <c r="C11" s="17" t="s">
        <v>59</v>
      </c>
      <c r="D11" s="17" t="s">
        <v>58</v>
      </c>
      <c r="I11">
        <v>5</v>
      </c>
      <c r="J11" t="s">
        <v>63</v>
      </c>
    </row>
    <row r="12" spans="2:10" ht="15.6">
      <c r="B12" s="17">
        <v>7</v>
      </c>
      <c r="C12" s="17" t="s">
        <v>42</v>
      </c>
      <c r="D12" s="17" t="s">
        <v>58</v>
      </c>
      <c r="I12">
        <v>6</v>
      </c>
      <c r="J12" t="s">
        <v>65</v>
      </c>
    </row>
    <row r="13" spans="2:10" ht="15.6">
      <c r="B13" s="17">
        <v>8</v>
      </c>
      <c r="C13" s="17" t="s">
        <v>43</v>
      </c>
      <c r="D13" s="17" t="s">
        <v>58</v>
      </c>
      <c r="I13">
        <v>7</v>
      </c>
      <c r="J13" t="s">
        <v>66</v>
      </c>
    </row>
    <row r="14" spans="2:10" ht="15.6">
      <c r="B14" s="17">
        <v>9</v>
      </c>
      <c r="C14" s="17" t="s">
        <v>67</v>
      </c>
      <c r="D14" s="17" t="s">
        <v>58</v>
      </c>
    </row>
    <row r="15" spans="2:10" ht="15.6">
      <c r="B15" s="17">
        <v>10</v>
      </c>
      <c r="C15" s="17" t="s">
        <v>68</v>
      </c>
      <c r="D15" s="17" t="s">
        <v>58</v>
      </c>
    </row>
    <row r="16" spans="2:10" ht="15.6">
      <c r="B16" s="17">
        <v>11</v>
      </c>
      <c r="C16" s="17" t="s">
        <v>69</v>
      </c>
      <c r="D16" s="17" t="s">
        <v>58</v>
      </c>
    </row>
    <row r="17" spans="2:4" ht="15.6">
      <c r="B17" s="17">
        <v>12</v>
      </c>
      <c r="C17" s="56" t="s">
        <v>136</v>
      </c>
      <c r="D17" s="17" t="s">
        <v>58</v>
      </c>
    </row>
    <row r="18" spans="2:4" ht="15.6">
      <c r="B18" s="17">
        <v>13</v>
      </c>
      <c r="C18" s="17" t="s">
        <v>120</v>
      </c>
      <c r="D18" s="17" t="s">
        <v>45</v>
      </c>
    </row>
    <row r="19" spans="2:4" ht="15.6">
      <c r="B19" s="17">
        <v>14</v>
      </c>
      <c r="C19" s="17" t="s">
        <v>113</v>
      </c>
      <c r="D19" s="17" t="s">
        <v>45</v>
      </c>
    </row>
    <row r="20" spans="2:4" ht="15.6">
      <c r="B20" s="17">
        <v>15</v>
      </c>
      <c r="C20" s="17" t="s">
        <v>37</v>
      </c>
      <c r="D20" s="17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CB3-6CAE-4927-8D50-CB20F0599746}">
  <dimension ref="A1:T91"/>
  <sheetViews>
    <sheetView topLeftCell="A16" zoomScale="77" workbookViewId="0">
      <selection activeCell="V79" sqref="V79"/>
    </sheetView>
  </sheetViews>
  <sheetFormatPr defaultRowHeight="14.4"/>
  <cols>
    <col min="2" max="2" width="24.44140625" bestFit="1" customWidth="1"/>
    <col min="3" max="4" width="16" bestFit="1" customWidth="1"/>
    <col min="5" max="5" width="41.44140625" customWidth="1"/>
    <col min="6" max="6" width="94.77734375" bestFit="1" customWidth="1"/>
    <col min="7" max="7" width="40.5546875" bestFit="1" customWidth="1"/>
    <col min="8" max="8" width="43.44140625" bestFit="1" customWidth="1"/>
    <col min="9" max="9" width="10.88671875" bestFit="1" customWidth="1"/>
    <col min="10" max="10" width="33.6640625" bestFit="1" customWidth="1"/>
    <col min="11" max="11" width="39.44140625" bestFit="1" customWidth="1"/>
    <col min="12" max="12" width="36.109375" bestFit="1" customWidth="1"/>
    <col min="13" max="13" width="42.44140625" customWidth="1"/>
    <col min="14" max="14" width="13.109375" customWidth="1"/>
    <col min="15" max="15" width="21" bestFit="1" customWidth="1"/>
    <col min="16" max="16" width="31.21875" customWidth="1"/>
    <col min="17" max="17" width="40.5546875" customWidth="1"/>
    <col min="18" max="18" width="25.88671875" customWidth="1"/>
    <col min="19" max="19" width="18" customWidth="1"/>
  </cols>
  <sheetData>
    <row r="1" spans="1:19" ht="15" thickBot="1"/>
    <row r="2" spans="1:19">
      <c r="A2" s="69"/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1"/>
    </row>
    <row r="3" spans="1:19" ht="23.4">
      <c r="A3" s="72"/>
      <c r="B3" s="57"/>
      <c r="C3" s="57"/>
      <c r="D3" s="57"/>
      <c r="E3" s="57"/>
      <c r="F3" s="31" t="s">
        <v>17</v>
      </c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73"/>
      <c r="S3" s="11"/>
    </row>
    <row r="4" spans="1:19">
      <c r="A4" s="72"/>
      <c r="B4" s="57"/>
      <c r="C4" s="57"/>
      <c r="D4" s="57"/>
      <c r="E4" s="57"/>
      <c r="F4" s="44"/>
      <c r="G4" s="57"/>
      <c r="H4" s="57"/>
      <c r="I4" s="57"/>
      <c r="J4" s="57"/>
      <c r="K4" s="57"/>
      <c r="L4" s="57"/>
      <c r="M4" s="57"/>
      <c r="N4" s="57"/>
      <c r="O4" s="57"/>
      <c r="P4" s="57"/>
      <c r="Q4" s="57"/>
      <c r="R4" s="73"/>
      <c r="S4" s="11"/>
    </row>
    <row r="5" spans="1:19" ht="21">
      <c r="A5" s="72"/>
      <c r="B5" s="40" t="s">
        <v>143</v>
      </c>
      <c r="C5" s="44"/>
      <c r="D5" s="57"/>
      <c r="E5" s="57"/>
      <c r="F5" s="57"/>
      <c r="G5" s="44"/>
      <c r="H5" s="38" t="s">
        <v>172</v>
      </c>
      <c r="I5" s="57"/>
      <c r="J5" s="57"/>
      <c r="K5" s="57"/>
      <c r="L5" s="44"/>
      <c r="M5" s="44"/>
      <c r="N5" s="57"/>
      <c r="O5" s="57"/>
      <c r="P5" s="57"/>
      <c r="Q5" s="57"/>
      <c r="R5" s="73"/>
      <c r="S5" s="11"/>
    </row>
    <row r="6" spans="1:19" ht="15.6">
      <c r="A6" s="72"/>
      <c r="B6" s="44"/>
      <c r="C6" s="15" t="s">
        <v>7</v>
      </c>
      <c r="D6" s="15" t="s">
        <v>20</v>
      </c>
      <c r="E6" s="15" t="s">
        <v>21</v>
      </c>
      <c r="F6" s="15" t="s">
        <v>22</v>
      </c>
      <c r="G6" s="44"/>
      <c r="H6" s="57"/>
      <c r="I6" s="39" t="s">
        <v>7</v>
      </c>
      <c r="J6" s="39" t="s">
        <v>24</v>
      </c>
      <c r="K6" s="39" t="s">
        <v>25</v>
      </c>
      <c r="L6" s="44"/>
      <c r="M6" s="44"/>
      <c r="N6" s="57"/>
      <c r="O6" s="57"/>
      <c r="P6" s="57"/>
      <c r="Q6" s="57"/>
      <c r="R6" s="73"/>
      <c r="S6" s="11"/>
    </row>
    <row r="7" spans="1:19" ht="31.2">
      <c r="A7" s="72"/>
      <c r="B7" s="44"/>
      <c r="C7" s="28">
        <v>1</v>
      </c>
      <c r="D7" s="23" t="s">
        <v>124</v>
      </c>
      <c r="E7" s="24" t="s">
        <v>125</v>
      </c>
      <c r="F7" s="41" t="s">
        <v>183</v>
      </c>
      <c r="G7" s="44"/>
      <c r="H7" s="57"/>
      <c r="I7" s="19">
        <v>1</v>
      </c>
      <c r="J7" s="23" t="s">
        <v>31</v>
      </c>
      <c r="K7" s="24" t="s">
        <v>31</v>
      </c>
      <c r="L7" s="44"/>
      <c r="M7" s="44"/>
      <c r="N7" s="57"/>
      <c r="O7" s="57"/>
      <c r="P7" s="57"/>
      <c r="Q7" s="57"/>
      <c r="R7" s="73"/>
      <c r="S7" s="11"/>
    </row>
    <row r="8" spans="1:19" ht="31.2">
      <c r="A8" s="72"/>
      <c r="B8" s="44"/>
      <c r="C8" s="28">
        <v>2</v>
      </c>
      <c r="D8" s="23" t="s">
        <v>126</v>
      </c>
      <c r="E8" s="24" t="s">
        <v>127</v>
      </c>
      <c r="F8" s="41" t="s">
        <v>184</v>
      </c>
      <c r="G8" s="44"/>
      <c r="H8" s="57"/>
      <c r="I8" s="19">
        <v>2</v>
      </c>
      <c r="J8" s="23" t="s">
        <v>27</v>
      </c>
      <c r="K8" s="24" t="s">
        <v>27</v>
      </c>
      <c r="L8" s="44"/>
      <c r="M8" s="44"/>
      <c r="N8" s="57"/>
      <c r="O8" s="57"/>
      <c r="P8" s="57"/>
      <c r="Q8" s="57"/>
      <c r="R8" s="73"/>
      <c r="S8" s="11"/>
    </row>
    <row r="9" spans="1:19" ht="31.2">
      <c r="A9" s="72"/>
      <c r="B9" s="44"/>
      <c r="C9" s="28">
        <v>3</v>
      </c>
      <c r="D9" s="23" t="s">
        <v>128</v>
      </c>
      <c r="E9" s="24" t="s">
        <v>129</v>
      </c>
      <c r="F9" s="41" t="s">
        <v>185</v>
      </c>
      <c r="G9" s="44"/>
      <c r="H9" s="57"/>
      <c r="I9" s="19">
        <v>3</v>
      </c>
      <c r="J9" s="23" t="s">
        <v>35</v>
      </c>
      <c r="K9" s="24" t="s">
        <v>35</v>
      </c>
      <c r="L9" s="44"/>
      <c r="M9" s="44"/>
      <c r="N9" s="57"/>
      <c r="O9" s="57"/>
      <c r="P9" s="57"/>
      <c r="Q9" s="57"/>
      <c r="R9" s="73"/>
      <c r="S9" s="11"/>
    </row>
    <row r="10" spans="1:19" ht="46.8">
      <c r="A10" s="72"/>
      <c r="B10" s="44"/>
      <c r="C10" s="28">
        <v>4</v>
      </c>
      <c r="D10" s="23" t="s">
        <v>130</v>
      </c>
      <c r="E10" s="24" t="s">
        <v>131</v>
      </c>
      <c r="F10" s="41" t="s">
        <v>186</v>
      </c>
      <c r="G10" s="44"/>
      <c r="H10" s="57"/>
      <c r="I10" s="19">
        <v>4</v>
      </c>
      <c r="J10" s="23" t="s">
        <v>43</v>
      </c>
      <c r="K10" s="24" t="s">
        <v>43</v>
      </c>
      <c r="L10" s="44"/>
      <c r="M10" s="44"/>
      <c r="N10" s="57"/>
      <c r="O10" s="57"/>
      <c r="P10" s="57"/>
      <c r="Q10" s="57"/>
      <c r="R10" s="73"/>
      <c r="S10" s="11"/>
    </row>
    <row r="11" spans="1:19" ht="15.6">
      <c r="A11" s="72"/>
      <c r="B11" s="57"/>
      <c r="C11" s="57"/>
      <c r="D11" s="44"/>
      <c r="E11" s="44"/>
      <c r="F11" s="44"/>
      <c r="G11" s="44"/>
      <c r="H11" s="57"/>
      <c r="I11" s="19">
        <v>5</v>
      </c>
      <c r="J11" s="23" t="s">
        <v>28</v>
      </c>
      <c r="K11" s="24" t="s">
        <v>28</v>
      </c>
      <c r="L11" s="44"/>
      <c r="M11" s="44"/>
      <c r="N11" s="57"/>
      <c r="O11" s="57"/>
      <c r="P11" s="57"/>
      <c r="Q11" s="57"/>
      <c r="R11" s="73"/>
      <c r="S11" s="11"/>
    </row>
    <row r="12" spans="1:19" ht="15.6">
      <c r="A12" s="72"/>
      <c r="B12" s="57"/>
      <c r="C12" s="57"/>
      <c r="D12" s="44"/>
      <c r="E12" s="44"/>
      <c r="F12" s="44"/>
      <c r="G12" s="44"/>
      <c r="H12" s="57"/>
      <c r="I12" s="19">
        <v>6</v>
      </c>
      <c r="J12" s="23" t="s">
        <v>32</v>
      </c>
      <c r="K12" s="24" t="s">
        <v>32</v>
      </c>
      <c r="L12" s="44"/>
      <c r="M12" s="44"/>
      <c r="N12" s="57"/>
      <c r="O12" s="57"/>
      <c r="P12" s="57"/>
      <c r="Q12" s="57"/>
      <c r="R12" s="73"/>
      <c r="S12" s="11"/>
    </row>
    <row r="13" spans="1:19" ht="15.6">
      <c r="A13" s="72"/>
      <c r="B13" s="57"/>
      <c r="C13" s="57"/>
      <c r="D13" s="44"/>
      <c r="E13" s="44"/>
      <c r="F13" s="44"/>
      <c r="G13" s="44"/>
      <c r="H13" s="57"/>
      <c r="I13" s="19">
        <v>7</v>
      </c>
      <c r="J13" s="23" t="s">
        <v>69</v>
      </c>
      <c r="K13" s="24" t="s">
        <v>69</v>
      </c>
      <c r="L13" s="44"/>
      <c r="M13" s="44"/>
      <c r="N13" s="57"/>
      <c r="O13" s="57"/>
      <c r="P13" s="57"/>
      <c r="Q13" s="57"/>
      <c r="R13" s="73"/>
      <c r="S13" s="11"/>
    </row>
    <row r="14" spans="1:19" ht="15.6">
      <c r="A14" s="72"/>
      <c r="B14" s="57"/>
      <c r="C14" s="57"/>
      <c r="D14" s="44"/>
      <c r="E14" s="44"/>
      <c r="F14" s="44"/>
      <c r="G14" s="44"/>
      <c r="H14" s="57"/>
      <c r="I14" s="32"/>
      <c r="J14" s="33"/>
      <c r="K14" s="34"/>
      <c r="L14" s="44"/>
      <c r="M14" s="44"/>
      <c r="N14" s="57"/>
      <c r="O14" s="57"/>
      <c r="P14" s="57"/>
      <c r="Q14" s="57"/>
      <c r="R14" s="73"/>
      <c r="S14" s="11"/>
    </row>
    <row r="15" spans="1:19" ht="15.6">
      <c r="A15" s="72"/>
      <c r="B15" s="57"/>
      <c r="C15" s="57"/>
      <c r="D15" s="44"/>
      <c r="E15" s="44"/>
      <c r="F15" s="44"/>
      <c r="G15" s="44"/>
      <c r="H15" s="57"/>
      <c r="I15" s="57"/>
      <c r="J15" s="57"/>
      <c r="K15" s="32"/>
      <c r="L15" s="33"/>
      <c r="M15" s="34"/>
      <c r="N15" s="57"/>
      <c r="O15" s="57"/>
      <c r="P15" s="57"/>
      <c r="Q15" s="57"/>
      <c r="R15" s="73"/>
      <c r="S15" s="11"/>
    </row>
    <row r="16" spans="1:19" ht="15.6">
      <c r="A16" s="74"/>
      <c r="B16" s="58"/>
      <c r="C16" s="58"/>
      <c r="D16" s="47"/>
      <c r="E16" s="47"/>
      <c r="F16" s="47"/>
      <c r="G16" s="47"/>
      <c r="H16" s="58"/>
      <c r="I16" s="58"/>
      <c r="J16" s="58"/>
      <c r="K16" s="35"/>
      <c r="L16" s="36"/>
      <c r="M16" s="37"/>
      <c r="N16" s="47"/>
      <c r="O16" s="58"/>
      <c r="P16" s="58"/>
      <c r="Q16" s="58"/>
      <c r="R16" s="83"/>
      <c r="S16" s="11"/>
    </row>
    <row r="17" spans="1:19">
      <c r="A17" s="72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75"/>
    </row>
    <row r="18" spans="1:19" ht="20.399999999999999">
      <c r="A18" s="72"/>
      <c r="B18" s="12" t="s">
        <v>135</v>
      </c>
      <c r="C18" s="59"/>
      <c r="D18" s="44"/>
      <c r="E18" s="44"/>
      <c r="F18" s="44"/>
      <c r="G18" s="44"/>
      <c r="H18" s="44"/>
      <c r="I18" s="44"/>
      <c r="J18" s="57"/>
      <c r="K18" s="44"/>
      <c r="L18" s="44"/>
      <c r="M18" s="44"/>
      <c r="N18" s="57"/>
      <c r="O18" s="57"/>
      <c r="P18" s="44"/>
      <c r="Q18" s="57"/>
      <c r="R18" s="73"/>
      <c r="S18" s="11"/>
    </row>
    <row r="19" spans="1:19" ht="21">
      <c r="A19" s="72"/>
      <c r="B19" s="44"/>
      <c r="C19" s="2" t="s">
        <v>19</v>
      </c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75"/>
    </row>
    <row r="20" spans="1:19" ht="15.6">
      <c r="A20" s="72"/>
      <c r="B20" s="57"/>
      <c r="C20" s="44"/>
      <c r="D20" s="3" t="s">
        <v>7</v>
      </c>
      <c r="E20" s="3" t="s">
        <v>175</v>
      </c>
      <c r="F20" s="3" t="s">
        <v>166</v>
      </c>
      <c r="G20" s="3" t="s">
        <v>23</v>
      </c>
      <c r="H20" s="3" t="s">
        <v>5</v>
      </c>
      <c r="I20" s="44"/>
      <c r="J20" s="44"/>
      <c r="K20" s="44"/>
      <c r="L20" s="44"/>
      <c r="M20" s="44"/>
      <c r="N20" s="44"/>
      <c r="O20" s="57"/>
      <c r="P20" s="57"/>
      <c r="Q20" s="44"/>
      <c r="R20" s="75"/>
    </row>
    <row r="21" spans="1:19" ht="15.6">
      <c r="A21" s="72"/>
      <c r="B21" s="44"/>
      <c r="C21" s="44"/>
      <c r="D21" s="28">
        <v>1</v>
      </c>
      <c r="E21" s="23" t="s">
        <v>173</v>
      </c>
      <c r="F21" s="24" t="s">
        <v>160</v>
      </c>
      <c r="G21" s="24" t="s">
        <v>132</v>
      </c>
      <c r="H21" s="24"/>
      <c r="I21" s="44"/>
      <c r="J21" s="44"/>
      <c r="K21" s="44"/>
      <c r="L21" s="44"/>
      <c r="M21" s="44"/>
      <c r="N21" s="44"/>
      <c r="O21" s="44"/>
      <c r="P21" s="44"/>
      <c r="Q21" s="44"/>
      <c r="R21" s="75"/>
    </row>
    <row r="22" spans="1:19" ht="15.6">
      <c r="A22" s="72"/>
      <c r="B22" s="44"/>
      <c r="C22" s="44"/>
      <c r="D22" s="28">
        <v>2</v>
      </c>
      <c r="E22" s="23" t="s">
        <v>176</v>
      </c>
      <c r="F22" s="24" t="s">
        <v>179</v>
      </c>
      <c r="G22" s="24" t="s">
        <v>155</v>
      </c>
      <c r="H22" s="24"/>
      <c r="I22" s="44"/>
      <c r="J22" s="44"/>
      <c r="K22" s="44"/>
      <c r="L22" s="44"/>
      <c r="M22" s="44"/>
      <c r="N22" s="44"/>
      <c r="O22" s="44"/>
      <c r="P22" s="44"/>
      <c r="Q22" s="44"/>
      <c r="R22" s="75"/>
    </row>
    <row r="23" spans="1:19" ht="15.6">
      <c r="A23" s="72"/>
      <c r="B23" s="44"/>
      <c r="C23" s="44"/>
      <c r="D23" s="28">
        <v>3</v>
      </c>
      <c r="E23" s="23" t="s">
        <v>178</v>
      </c>
      <c r="F23" s="24" t="s">
        <v>180</v>
      </c>
      <c r="G23" s="24" t="s">
        <v>133</v>
      </c>
      <c r="H23" s="24"/>
      <c r="I23" s="44"/>
      <c r="J23" s="44"/>
      <c r="K23" s="44"/>
      <c r="L23" s="44"/>
      <c r="M23" s="44"/>
      <c r="N23" s="44"/>
      <c r="O23" s="44"/>
      <c r="P23" s="44"/>
      <c r="Q23" s="44"/>
      <c r="R23" s="75"/>
    </row>
    <row r="24" spans="1:19" ht="15.6">
      <c r="A24" s="72"/>
      <c r="B24" s="44"/>
      <c r="C24" s="44"/>
      <c r="D24" s="28">
        <v>4</v>
      </c>
      <c r="E24" s="23" t="s">
        <v>174</v>
      </c>
      <c r="F24" s="24" t="s">
        <v>181</v>
      </c>
      <c r="G24" s="24" t="s">
        <v>134</v>
      </c>
      <c r="H24" s="24"/>
      <c r="I24" s="44"/>
      <c r="J24" s="44"/>
      <c r="K24" s="44"/>
      <c r="L24" s="44"/>
      <c r="M24" s="44"/>
      <c r="N24" s="44"/>
      <c r="O24" s="44"/>
      <c r="P24" s="44"/>
      <c r="Q24" s="44"/>
      <c r="R24" s="75"/>
    </row>
    <row r="25" spans="1:19" ht="15.6">
      <c r="A25" s="72"/>
      <c r="B25" s="44"/>
      <c r="C25" s="44"/>
      <c r="D25" s="28">
        <v>5</v>
      </c>
      <c r="E25" s="23" t="s">
        <v>177</v>
      </c>
      <c r="F25" s="24" t="s">
        <v>168</v>
      </c>
      <c r="G25" s="24" t="s">
        <v>182</v>
      </c>
      <c r="H25" s="24"/>
      <c r="I25" s="44"/>
      <c r="J25" s="44"/>
      <c r="K25" s="44"/>
      <c r="L25" s="44"/>
      <c r="M25" s="44"/>
      <c r="N25" s="44"/>
      <c r="O25" s="44"/>
      <c r="P25" s="44"/>
      <c r="Q25" s="44"/>
      <c r="R25" s="75"/>
    </row>
    <row r="26" spans="1:19">
      <c r="A26" s="72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75"/>
    </row>
    <row r="27" spans="1:19">
      <c r="A27" s="74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79"/>
    </row>
    <row r="28" spans="1:19">
      <c r="A28" s="72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75"/>
    </row>
    <row r="29" spans="1:19" ht="20.399999999999999">
      <c r="A29" s="72"/>
      <c r="B29" s="12" t="s">
        <v>137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75"/>
    </row>
    <row r="30" spans="1:19" ht="20.399999999999999">
      <c r="A30" s="72"/>
      <c r="B30" s="44"/>
      <c r="C30" s="13" t="s">
        <v>18</v>
      </c>
      <c r="D30" s="44"/>
      <c r="E30" s="44"/>
      <c r="F30" s="44"/>
      <c r="G30" s="44"/>
      <c r="H30" s="14" t="s">
        <v>19</v>
      </c>
      <c r="I30" s="44"/>
      <c r="J30" s="44"/>
      <c r="K30" s="44"/>
      <c r="L30" s="44"/>
      <c r="M30" s="44"/>
      <c r="N30" s="44"/>
      <c r="O30" s="44"/>
      <c r="P30" s="44"/>
      <c r="Q30" s="44"/>
      <c r="R30" s="75"/>
    </row>
    <row r="31" spans="1:19" ht="15.6">
      <c r="A31" s="72"/>
      <c r="B31" s="44"/>
      <c r="C31" s="44"/>
      <c r="D31" s="29" t="s">
        <v>7</v>
      </c>
      <c r="E31" s="29" t="s">
        <v>123</v>
      </c>
      <c r="F31" s="29" t="s">
        <v>138</v>
      </c>
      <c r="G31" s="44"/>
      <c r="H31" s="44"/>
      <c r="I31" s="3" t="s">
        <v>7</v>
      </c>
      <c r="J31" s="3" t="s">
        <v>175</v>
      </c>
      <c r="K31" s="3" t="s">
        <v>166</v>
      </c>
      <c r="L31" s="3" t="s">
        <v>23</v>
      </c>
      <c r="M31" s="3" t="s">
        <v>5</v>
      </c>
      <c r="N31" s="44"/>
      <c r="O31" s="44"/>
      <c r="P31" s="44"/>
      <c r="Q31" s="44"/>
      <c r="R31" s="75"/>
    </row>
    <row r="32" spans="1:19" ht="15.6">
      <c r="A32" s="72"/>
      <c r="B32" s="44"/>
      <c r="C32" s="44"/>
      <c r="D32" s="19">
        <v>1</v>
      </c>
      <c r="E32" s="30" t="s">
        <v>139</v>
      </c>
      <c r="F32" s="24" t="s">
        <v>144</v>
      </c>
      <c r="G32" s="44"/>
      <c r="H32" s="44"/>
      <c r="I32" s="20">
        <v>1</v>
      </c>
      <c r="J32" s="21" t="s">
        <v>187</v>
      </c>
      <c r="K32" s="25"/>
      <c r="L32" s="20" t="s">
        <v>191</v>
      </c>
      <c r="M32" s="20"/>
      <c r="N32" s="44"/>
      <c r="O32" s="44"/>
      <c r="P32" s="44"/>
      <c r="Q32" s="44"/>
      <c r="R32" s="75"/>
    </row>
    <row r="33" spans="1:18" ht="15.6">
      <c r="A33" s="72"/>
      <c r="B33" s="44"/>
      <c r="C33" s="44"/>
      <c r="D33" s="19">
        <v>2</v>
      </c>
      <c r="E33" s="30" t="s">
        <v>140</v>
      </c>
      <c r="F33" s="24" t="s">
        <v>145</v>
      </c>
      <c r="G33" s="44"/>
      <c r="H33" s="44"/>
      <c r="I33" s="20">
        <v>2</v>
      </c>
      <c r="J33" s="21" t="s">
        <v>193</v>
      </c>
      <c r="K33" s="25"/>
      <c r="L33" s="20" t="s">
        <v>192</v>
      </c>
      <c r="M33" s="20"/>
      <c r="N33" s="44"/>
      <c r="O33" s="44"/>
      <c r="P33" s="44"/>
      <c r="Q33" s="44"/>
      <c r="R33" s="75"/>
    </row>
    <row r="34" spans="1:18" ht="15.6">
      <c r="A34" s="72"/>
      <c r="B34" s="44"/>
      <c r="C34" s="44"/>
      <c r="D34" s="19">
        <v>3</v>
      </c>
      <c r="E34" s="30" t="s">
        <v>141</v>
      </c>
      <c r="F34" s="24" t="s">
        <v>146</v>
      </c>
      <c r="G34" s="44"/>
      <c r="H34" s="44"/>
      <c r="I34" s="20">
        <v>3</v>
      </c>
      <c r="J34" s="21" t="s">
        <v>188</v>
      </c>
      <c r="K34" s="25"/>
      <c r="L34" s="20" t="s">
        <v>142</v>
      </c>
      <c r="M34" s="20"/>
      <c r="N34" s="44"/>
      <c r="O34" s="44"/>
      <c r="P34" s="44"/>
      <c r="Q34" s="44"/>
      <c r="R34" s="75"/>
    </row>
    <row r="35" spans="1:18" ht="15.6">
      <c r="A35" s="72"/>
      <c r="B35" s="44"/>
      <c r="C35" s="44"/>
      <c r="D35" s="19">
        <v>4</v>
      </c>
      <c r="E35" s="30" t="s">
        <v>147</v>
      </c>
      <c r="F35" s="24" t="s">
        <v>148</v>
      </c>
      <c r="G35" s="44"/>
      <c r="H35" s="44"/>
      <c r="I35" s="20">
        <v>4</v>
      </c>
      <c r="J35" s="21" t="s">
        <v>189</v>
      </c>
      <c r="K35" s="25"/>
      <c r="L35" s="20" t="s">
        <v>194</v>
      </c>
      <c r="M35" s="20"/>
      <c r="N35" s="44"/>
      <c r="O35" s="44"/>
      <c r="P35" s="44"/>
      <c r="Q35" s="44"/>
      <c r="R35" s="75"/>
    </row>
    <row r="36" spans="1:18" ht="15.6">
      <c r="A36" s="72"/>
      <c r="B36" s="44"/>
      <c r="C36" s="44"/>
      <c r="D36" s="44"/>
      <c r="E36" s="44"/>
      <c r="F36" s="44"/>
      <c r="G36" s="44"/>
      <c r="H36" s="44"/>
      <c r="I36" s="20">
        <v>5</v>
      </c>
      <c r="J36" s="21" t="s">
        <v>190</v>
      </c>
      <c r="K36" s="25"/>
      <c r="L36" s="20" t="s">
        <v>132</v>
      </c>
      <c r="M36" s="20"/>
      <c r="N36" s="44"/>
      <c r="O36" s="44"/>
      <c r="P36" s="44"/>
      <c r="Q36" s="44"/>
      <c r="R36" s="75"/>
    </row>
    <row r="37" spans="1:18" ht="15.6">
      <c r="A37" s="72"/>
      <c r="B37" s="44"/>
      <c r="C37" s="44"/>
      <c r="D37" s="44"/>
      <c r="E37" s="44"/>
      <c r="F37" s="44"/>
      <c r="G37" s="44"/>
      <c r="H37" s="44"/>
      <c r="I37" s="42"/>
      <c r="J37" s="43"/>
      <c r="K37" s="44"/>
      <c r="L37" s="42"/>
      <c r="M37" s="42"/>
      <c r="N37" s="44"/>
      <c r="O37" s="44"/>
      <c r="P37" s="44"/>
      <c r="Q37" s="44"/>
      <c r="R37" s="75"/>
    </row>
    <row r="38" spans="1:18" ht="15.6">
      <c r="A38" s="74"/>
      <c r="B38" s="47"/>
      <c r="C38" s="47"/>
      <c r="D38" s="47"/>
      <c r="E38" s="47"/>
      <c r="F38" s="47"/>
      <c r="G38" s="47"/>
      <c r="H38" s="47"/>
      <c r="I38" s="45"/>
      <c r="J38" s="46"/>
      <c r="K38" s="47"/>
      <c r="L38" s="45"/>
      <c r="M38" s="45"/>
      <c r="N38" s="47"/>
      <c r="O38" s="47"/>
      <c r="P38" s="47"/>
      <c r="Q38" s="47"/>
      <c r="R38" s="79"/>
    </row>
    <row r="39" spans="1:18">
      <c r="A39" s="72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75"/>
    </row>
    <row r="40" spans="1:18">
      <c r="A40" s="72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75"/>
    </row>
    <row r="41" spans="1:18" ht="20.399999999999999">
      <c r="A41" s="72"/>
      <c r="B41" s="12" t="s">
        <v>29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75"/>
    </row>
    <row r="42" spans="1:18" ht="20.399999999999999">
      <c r="A42" s="72"/>
      <c r="B42" s="44"/>
      <c r="C42" s="13" t="s">
        <v>18</v>
      </c>
      <c r="D42" s="44"/>
      <c r="E42" s="44"/>
      <c r="F42" s="44"/>
      <c r="G42" s="44"/>
      <c r="H42" s="14" t="s">
        <v>19</v>
      </c>
      <c r="I42" s="44"/>
      <c r="J42" s="44"/>
      <c r="K42" s="44"/>
      <c r="L42" s="44"/>
      <c r="M42" s="44"/>
      <c r="N42" s="44"/>
      <c r="O42" s="44"/>
      <c r="P42" s="44"/>
      <c r="Q42" s="44"/>
      <c r="R42" s="75"/>
    </row>
    <row r="43" spans="1:18" ht="15.6">
      <c r="A43" s="72"/>
      <c r="B43" s="44"/>
      <c r="C43" s="44"/>
      <c r="D43" s="29" t="s">
        <v>7</v>
      </c>
      <c r="E43" s="29" t="s">
        <v>123</v>
      </c>
      <c r="F43" s="29" t="s">
        <v>138</v>
      </c>
      <c r="G43" s="44"/>
      <c r="H43" s="44"/>
      <c r="I43" s="44"/>
      <c r="J43" s="44"/>
      <c r="K43" s="44"/>
      <c r="L43" s="44"/>
      <c r="M43" s="44"/>
      <c r="N43" s="60"/>
      <c r="O43" s="44"/>
      <c r="P43" s="61"/>
      <c r="Q43" s="44"/>
      <c r="R43" s="75"/>
    </row>
    <row r="44" spans="1:18" ht="15.6">
      <c r="A44" s="72"/>
      <c r="B44" s="44"/>
      <c r="C44" s="44"/>
      <c r="D44" s="20">
        <v>1</v>
      </c>
      <c r="E44" s="23" t="s">
        <v>149</v>
      </c>
      <c r="F44" s="20" t="s">
        <v>150</v>
      </c>
      <c r="G44" s="44"/>
      <c r="H44" s="44"/>
      <c r="I44" s="48">
        <v>1</v>
      </c>
      <c r="J44" s="25" t="s">
        <v>199</v>
      </c>
      <c r="K44" s="50" t="s">
        <v>179</v>
      </c>
      <c r="L44" s="48" t="s">
        <v>209</v>
      </c>
      <c r="M44" s="48"/>
      <c r="N44" s="62"/>
      <c r="O44" s="44"/>
      <c r="P44" s="63"/>
      <c r="Q44" s="44"/>
      <c r="R44" s="75"/>
    </row>
    <row r="45" spans="1:18" ht="15.6">
      <c r="A45" s="72"/>
      <c r="B45" s="44"/>
      <c r="C45" s="44"/>
      <c r="D45" s="20">
        <v>2</v>
      </c>
      <c r="E45" s="23" t="s">
        <v>151</v>
      </c>
      <c r="F45" s="20" t="s">
        <v>152</v>
      </c>
      <c r="G45" s="44"/>
      <c r="H45" s="44"/>
      <c r="I45" s="48">
        <v>2</v>
      </c>
      <c r="J45" s="25" t="s">
        <v>200</v>
      </c>
      <c r="K45" s="50" t="s">
        <v>181</v>
      </c>
      <c r="L45" s="48" t="s">
        <v>207</v>
      </c>
      <c r="M45" s="48"/>
      <c r="N45" s="62"/>
      <c r="O45" s="44"/>
      <c r="P45" s="63"/>
      <c r="Q45" s="44"/>
      <c r="R45" s="75"/>
    </row>
    <row r="46" spans="1:18" ht="15.6">
      <c r="A46" s="72"/>
      <c r="B46" s="44"/>
      <c r="C46" s="44"/>
      <c r="D46" s="20">
        <v>3</v>
      </c>
      <c r="E46" s="23" t="s">
        <v>153</v>
      </c>
      <c r="F46" s="20" t="s">
        <v>154</v>
      </c>
      <c r="G46" s="44"/>
      <c r="H46" s="44"/>
      <c r="I46" s="48">
        <v>3</v>
      </c>
      <c r="J46" s="25" t="s">
        <v>201</v>
      </c>
      <c r="K46" s="50" t="s">
        <v>168</v>
      </c>
      <c r="L46" s="25" t="s">
        <v>208</v>
      </c>
      <c r="M46" s="48"/>
      <c r="N46" s="62"/>
      <c r="O46" s="44"/>
      <c r="P46" s="63"/>
      <c r="Q46" s="44"/>
      <c r="R46" s="75"/>
    </row>
    <row r="47" spans="1:18" ht="15.6">
      <c r="A47" s="72"/>
      <c r="B47" s="44"/>
      <c r="C47" s="44"/>
      <c r="D47" s="20">
        <v>4</v>
      </c>
      <c r="E47" s="49" t="s">
        <v>195</v>
      </c>
      <c r="F47" s="17"/>
      <c r="G47" s="44"/>
      <c r="H47" s="44"/>
      <c r="I47" s="48">
        <v>4</v>
      </c>
      <c r="J47" s="25" t="s">
        <v>202</v>
      </c>
      <c r="K47" s="50" t="s">
        <v>181</v>
      </c>
      <c r="L47" s="48" t="s">
        <v>206</v>
      </c>
      <c r="M47" s="48"/>
      <c r="N47" s="62"/>
      <c r="O47" s="44"/>
      <c r="P47" s="44"/>
      <c r="Q47" s="44"/>
      <c r="R47" s="75"/>
    </row>
    <row r="48" spans="1:18" ht="15.6">
      <c r="A48" s="72"/>
      <c r="B48" s="44"/>
      <c r="C48" s="44"/>
      <c r="D48" s="20">
        <v>5</v>
      </c>
      <c r="E48" s="49" t="s">
        <v>196</v>
      </c>
      <c r="F48" s="17"/>
      <c r="G48" s="44"/>
      <c r="H48" s="44"/>
      <c r="I48" s="48">
        <v>5</v>
      </c>
      <c r="J48" s="25" t="s">
        <v>204</v>
      </c>
      <c r="K48" s="50" t="s">
        <v>179</v>
      </c>
      <c r="L48" s="48" t="s">
        <v>205</v>
      </c>
      <c r="M48" s="48"/>
      <c r="N48" s="62"/>
      <c r="O48" s="44"/>
      <c r="P48" s="44"/>
      <c r="Q48" s="44"/>
      <c r="R48" s="75"/>
    </row>
    <row r="49" spans="1:18" ht="15.6">
      <c r="A49" s="72"/>
      <c r="B49" s="44"/>
      <c r="C49" s="44"/>
      <c r="D49" s="20">
        <v>6</v>
      </c>
      <c r="E49" s="49" t="s">
        <v>197</v>
      </c>
      <c r="F49" s="17"/>
      <c r="G49" s="44"/>
      <c r="H49" s="44"/>
      <c r="I49" s="48">
        <v>6</v>
      </c>
      <c r="J49" s="48" t="s">
        <v>203</v>
      </c>
      <c r="K49" s="50" t="s">
        <v>179</v>
      </c>
      <c r="L49" s="48" t="s">
        <v>205</v>
      </c>
      <c r="M49" s="48"/>
      <c r="N49" s="62"/>
      <c r="O49" s="44"/>
      <c r="P49" s="44"/>
      <c r="Q49" s="44"/>
      <c r="R49" s="75"/>
    </row>
    <row r="50" spans="1:18" ht="15.6">
      <c r="A50" s="72"/>
      <c r="B50" s="44"/>
      <c r="C50" s="44"/>
      <c r="D50" s="20">
        <v>7</v>
      </c>
      <c r="E50" s="49" t="s">
        <v>198</v>
      </c>
      <c r="F50" s="17"/>
      <c r="G50" s="44"/>
      <c r="H50" s="44"/>
      <c r="I50" s="44"/>
      <c r="J50" s="62"/>
      <c r="K50" s="64"/>
      <c r="L50" s="62"/>
      <c r="M50" s="62"/>
      <c r="N50" s="62"/>
      <c r="O50" s="44"/>
      <c r="P50" s="44"/>
      <c r="Q50" s="44"/>
      <c r="R50" s="75"/>
    </row>
    <row r="51" spans="1:18">
      <c r="A51" s="72"/>
      <c r="B51" s="44"/>
      <c r="C51" s="44"/>
      <c r="D51" s="44"/>
      <c r="E51" s="44"/>
      <c r="F51" s="44"/>
      <c r="G51" s="44"/>
      <c r="H51" s="44"/>
      <c r="I51" s="44"/>
      <c r="J51" s="62"/>
      <c r="K51" s="64"/>
      <c r="L51" s="62"/>
      <c r="M51" s="62"/>
      <c r="N51" s="62"/>
      <c r="O51" s="44"/>
      <c r="P51" s="44"/>
      <c r="Q51" s="44"/>
      <c r="R51" s="75"/>
    </row>
    <row r="52" spans="1:18">
      <c r="A52" s="74"/>
      <c r="B52" s="47"/>
      <c r="C52" s="47"/>
      <c r="D52" s="47"/>
      <c r="E52" s="47"/>
      <c r="F52" s="47"/>
      <c r="G52" s="47"/>
      <c r="H52" s="47"/>
      <c r="I52" s="47"/>
      <c r="J52" s="65"/>
      <c r="K52" s="66"/>
      <c r="L52" s="65"/>
      <c r="M52" s="65"/>
      <c r="N52" s="65"/>
      <c r="O52" s="47"/>
      <c r="P52" s="47"/>
      <c r="Q52" s="47"/>
      <c r="R52" s="79"/>
    </row>
    <row r="53" spans="1:18">
      <c r="A53" s="72"/>
      <c r="B53" s="44"/>
      <c r="C53" s="44"/>
      <c r="D53" s="44"/>
      <c r="E53" s="44"/>
      <c r="F53" s="44"/>
      <c r="G53" s="44"/>
      <c r="H53" s="44"/>
      <c r="I53" s="44"/>
      <c r="J53" s="62"/>
      <c r="K53" s="64"/>
      <c r="L53" s="62"/>
      <c r="M53" s="62"/>
      <c r="N53" s="62"/>
      <c r="O53" s="44"/>
      <c r="P53" s="44"/>
      <c r="Q53" s="44"/>
      <c r="R53" s="75"/>
    </row>
    <row r="54" spans="1:18">
      <c r="A54" s="72"/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75"/>
    </row>
    <row r="55" spans="1:18" ht="20.399999999999999">
      <c r="A55" s="72"/>
      <c r="B55" s="12" t="s">
        <v>156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75"/>
    </row>
    <row r="56" spans="1:18" ht="20.399999999999999">
      <c r="A56" s="72"/>
      <c r="B56" s="44"/>
      <c r="C56" s="13" t="s">
        <v>18</v>
      </c>
      <c r="D56" s="44"/>
      <c r="E56" s="44"/>
      <c r="F56" s="44"/>
      <c r="G56" s="44"/>
      <c r="H56" s="14" t="s">
        <v>19</v>
      </c>
      <c r="I56" s="44"/>
      <c r="J56" s="44"/>
      <c r="K56" s="44"/>
      <c r="L56" s="44"/>
      <c r="M56" s="44"/>
      <c r="N56" s="44"/>
      <c r="O56" s="44"/>
      <c r="P56" s="44"/>
      <c r="Q56" s="44"/>
      <c r="R56" s="75"/>
    </row>
    <row r="57" spans="1:18" ht="15.6">
      <c r="A57" s="72"/>
      <c r="B57" s="44"/>
      <c r="C57" s="44"/>
      <c r="D57" s="29" t="s">
        <v>7</v>
      </c>
      <c r="E57" s="29" t="s">
        <v>123</v>
      </c>
      <c r="F57" s="29" t="s">
        <v>138</v>
      </c>
      <c r="G57" s="44"/>
      <c r="H57" s="44"/>
      <c r="I57" s="3" t="s">
        <v>7</v>
      </c>
      <c r="J57" s="3" t="s">
        <v>175</v>
      </c>
      <c r="K57" s="3" t="s">
        <v>166</v>
      </c>
      <c r="L57" s="3" t="s">
        <v>23</v>
      </c>
      <c r="M57" s="3" t="s">
        <v>5</v>
      </c>
      <c r="N57" s="60"/>
      <c r="O57" s="44"/>
      <c r="P57" s="44"/>
      <c r="Q57" s="44"/>
      <c r="R57" s="75"/>
    </row>
    <row r="58" spans="1:18" ht="15.6">
      <c r="A58" s="72"/>
      <c r="B58" s="44"/>
      <c r="C58" s="44"/>
      <c r="D58" s="20">
        <v>1</v>
      </c>
      <c r="E58" s="21" t="s">
        <v>157</v>
      </c>
      <c r="F58" s="20" t="s">
        <v>210</v>
      </c>
      <c r="G58" s="44"/>
      <c r="H58" s="44"/>
      <c r="I58" s="20">
        <v>1</v>
      </c>
      <c r="J58" s="17" t="s">
        <v>212</v>
      </c>
      <c r="K58" s="21" t="s">
        <v>217</v>
      </c>
      <c r="L58" s="20" t="s">
        <v>219</v>
      </c>
      <c r="M58" s="51"/>
      <c r="N58" s="62"/>
      <c r="O58" s="44"/>
      <c r="P58" s="44"/>
      <c r="Q58" s="44"/>
      <c r="R58" s="75"/>
    </row>
    <row r="59" spans="1:18" ht="15.6">
      <c r="A59" s="72"/>
      <c r="B59" s="44"/>
      <c r="C59" s="44"/>
      <c r="D59" s="20">
        <v>2</v>
      </c>
      <c r="E59" s="21" t="s">
        <v>161</v>
      </c>
      <c r="F59" s="20" t="s">
        <v>211</v>
      </c>
      <c r="G59" s="44"/>
      <c r="H59" s="44"/>
      <c r="I59" s="20">
        <v>2</v>
      </c>
      <c r="J59" s="17" t="s">
        <v>213</v>
      </c>
      <c r="K59" s="21" t="s">
        <v>181</v>
      </c>
      <c r="L59" s="20" t="s">
        <v>220</v>
      </c>
      <c r="M59" s="51"/>
      <c r="N59" s="62"/>
      <c r="O59" s="44"/>
      <c r="P59" s="44"/>
      <c r="Q59" s="44"/>
      <c r="R59" s="75"/>
    </row>
    <row r="60" spans="1:18" ht="15.6">
      <c r="A60" s="72"/>
      <c r="B60" s="44"/>
      <c r="C60" s="44"/>
      <c r="D60" s="44"/>
      <c r="E60" s="44"/>
      <c r="F60" s="44"/>
      <c r="G60" s="44"/>
      <c r="H60" s="44"/>
      <c r="I60" s="20">
        <v>3</v>
      </c>
      <c r="J60" s="17" t="s">
        <v>214</v>
      </c>
      <c r="K60" s="21" t="s">
        <v>181</v>
      </c>
      <c r="L60" s="20" t="s">
        <v>221</v>
      </c>
      <c r="M60" s="51"/>
      <c r="N60" s="62"/>
      <c r="O60" s="44"/>
      <c r="P60" s="44"/>
      <c r="Q60" s="44"/>
      <c r="R60" s="75"/>
    </row>
    <row r="61" spans="1:18" ht="15.6">
      <c r="A61" s="72"/>
      <c r="B61" s="44"/>
      <c r="C61" s="44"/>
      <c r="D61" s="44"/>
      <c r="E61" s="44"/>
      <c r="F61" s="44"/>
      <c r="G61" s="44"/>
      <c r="H61" s="44"/>
      <c r="I61" s="20">
        <v>4</v>
      </c>
      <c r="J61" s="17" t="s">
        <v>215</v>
      </c>
      <c r="K61" s="21" t="s">
        <v>181</v>
      </c>
      <c r="L61" s="20" t="s">
        <v>220</v>
      </c>
      <c r="M61" s="51"/>
      <c r="N61" s="62"/>
      <c r="O61" s="44"/>
      <c r="P61" s="44"/>
      <c r="Q61" s="44"/>
      <c r="R61" s="75"/>
    </row>
    <row r="62" spans="1:18" ht="31.2">
      <c r="A62" s="72"/>
      <c r="B62" s="44"/>
      <c r="C62" s="44"/>
      <c r="D62" s="44"/>
      <c r="E62" s="44"/>
      <c r="F62" s="44"/>
      <c r="G62" s="44"/>
      <c r="H62" s="44"/>
      <c r="I62" s="20">
        <v>5</v>
      </c>
      <c r="J62" s="17" t="s">
        <v>218</v>
      </c>
      <c r="K62" s="21" t="s">
        <v>216</v>
      </c>
      <c r="L62" s="20" t="s">
        <v>222</v>
      </c>
      <c r="M62" s="51"/>
      <c r="N62" s="62"/>
      <c r="O62" s="44"/>
      <c r="P62" s="44"/>
      <c r="Q62" s="44"/>
      <c r="R62" s="75"/>
    </row>
    <row r="63" spans="1:18">
      <c r="A63" s="72"/>
      <c r="B63" s="44"/>
      <c r="C63" s="44"/>
      <c r="D63" s="44"/>
      <c r="E63" s="44"/>
      <c r="F63" s="44"/>
      <c r="G63" s="44"/>
      <c r="H63" s="44"/>
      <c r="I63" s="62"/>
      <c r="J63" s="44"/>
      <c r="K63" s="64"/>
      <c r="L63" s="62"/>
      <c r="M63" s="67"/>
      <c r="N63" s="62"/>
      <c r="O63" s="44"/>
      <c r="P63" s="44"/>
      <c r="Q63" s="44"/>
      <c r="R63" s="75"/>
    </row>
    <row r="64" spans="1:18">
      <c r="A64" s="74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4"/>
      <c r="P64" s="44"/>
      <c r="Q64" s="44"/>
      <c r="R64" s="75"/>
    </row>
    <row r="65" spans="1:20">
      <c r="A65" s="72"/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75"/>
    </row>
    <row r="66" spans="1:20">
      <c r="A66" s="72"/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75"/>
    </row>
    <row r="67" spans="1:20" ht="20.399999999999999">
      <c r="A67" s="72"/>
      <c r="B67" s="12" t="s">
        <v>158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75"/>
    </row>
    <row r="68" spans="1:20" ht="20.399999999999999">
      <c r="A68" s="72"/>
      <c r="B68" s="44"/>
      <c r="C68" s="13" t="s">
        <v>18</v>
      </c>
      <c r="D68" s="44"/>
      <c r="E68" s="44"/>
      <c r="F68" s="44"/>
      <c r="G68" s="44"/>
      <c r="H68" s="14" t="s">
        <v>19</v>
      </c>
      <c r="I68" s="44"/>
      <c r="J68" s="44"/>
      <c r="K68" s="44"/>
      <c r="L68" s="44"/>
      <c r="M68" s="44"/>
      <c r="N68" s="44"/>
      <c r="O68" s="38" t="s">
        <v>171</v>
      </c>
      <c r="P68" s="57"/>
      <c r="Q68" s="57"/>
      <c r="R68" s="73"/>
    </row>
    <row r="69" spans="1:20" ht="15.6">
      <c r="A69" s="72"/>
      <c r="B69" s="44"/>
      <c r="C69" s="44"/>
      <c r="D69" s="29" t="s">
        <v>7</v>
      </c>
      <c r="E69" s="29" t="s">
        <v>123</v>
      </c>
      <c r="F69" s="29" t="s">
        <v>138</v>
      </c>
      <c r="G69" s="44"/>
      <c r="H69" s="44"/>
      <c r="I69" s="3" t="s">
        <v>7</v>
      </c>
      <c r="J69" s="3" t="s">
        <v>175</v>
      </c>
      <c r="K69" s="3" t="s">
        <v>166</v>
      </c>
      <c r="L69" s="3" t="s">
        <v>23</v>
      </c>
      <c r="M69" s="3" t="s">
        <v>5</v>
      </c>
      <c r="N69" s="44"/>
      <c r="O69" s="57"/>
      <c r="P69" s="39" t="s">
        <v>7</v>
      </c>
      <c r="Q69" s="39" t="s">
        <v>24</v>
      </c>
      <c r="R69" s="76" t="s">
        <v>25</v>
      </c>
    </row>
    <row r="70" spans="1:20" ht="15.6">
      <c r="A70" s="72"/>
      <c r="B70" s="44"/>
      <c r="C70" s="44"/>
      <c r="D70" s="20">
        <v>1</v>
      </c>
      <c r="E70" s="21" t="s">
        <v>234</v>
      </c>
      <c r="F70" s="20"/>
      <c r="G70" s="44"/>
      <c r="H70" s="44"/>
      <c r="I70" s="20">
        <v>1</v>
      </c>
      <c r="J70" s="21" t="s">
        <v>223</v>
      </c>
      <c r="K70" s="17" t="s">
        <v>179</v>
      </c>
      <c r="L70" s="51" t="s">
        <v>228</v>
      </c>
      <c r="M70" s="17"/>
      <c r="N70" s="44"/>
      <c r="O70" s="44"/>
      <c r="P70" s="17">
        <v>1</v>
      </c>
      <c r="Q70" s="17" t="s">
        <v>236</v>
      </c>
      <c r="R70" s="77" t="s">
        <v>97</v>
      </c>
    </row>
    <row r="71" spans="1:20" ht="30">
      <c r="A71" s="72"/>
      <c r="B71" s="44"/>
      <c r="C71" s="44"/>
      <c r="D71" s="20">
        <v>2</v>
      </c>
      <c r="E71" s="21" t="s">
        <v>235</v>
      </c>
      <c r="F71" s="20"/>
      <c r="G71" s="44"/>
      <c r="H71" s="44"/>
      <c r="I71" s="20">
        <v>2</v>
      </c>
      <c r="J71" s="21" t="s">
        <v>224</v>
      </c>
      <c r="K71" s="17" t="s">
        <v>233</v>
      </c>
      <c r="L71" s="51" t="s">
        <v>229</v>
      </c>
      <c r="M71" s="17"/>
      <c r="N71" s="44"/>
      <c r="O71" s="44"/>
      <c r="P71" s="17">
        <v>2</v>
      </c>
      <c r="Q71" s="17" t="s">
        <v>29</v>
      </c>
      <c r="R71" s="78" t="s">
        <v>29</v>
      </c>
    </row>
    <row r="72" spans="1:20" ht="15.6">
      <c r="A72" s="72"/>
      <c r="B72" s="44"/>
      <c r="C72" s="44"/>
      <c r="D72" s="44"/>
      <c r="E72" s="44"/>
      <c r="F72" s="44"/>
      <c r="G72" s="44"/>
      <c r="H72" s="44"/>
      <c r="I72" s="20">
        <v>3</v>
      </c>
      <c r="J72" s="21" t="s">
        <v>225</v>
      </c>
      <c r="K72" s="17" t="s">
        <v>168</v>
      </c>
      <c r="L72" s="51" t="s">
        <v>230</v>
      </c>
      <c r="M72" s="17"/>
      <c r="N72" s="44"/>
      <c r="O72" s="44"/>
      <c r="P72" s="44"/>
      <c r="Q72" s="44"/>
      <c r="R72" s="75"/>
    </row>
    <row r="73" spans="1:20" ht="15.6">
      <c r="A73" s="72"/>
      <c r="B73" s="44"/>
      <c r="C73" s="44"/>
      <c r="D73" s="44"/>
      <c r="E73" s="44"/>
      <c r="F73" s="44"/>
      <c r="G73" s="44"/>
      <c r="H73" s="44"/>
      <c r="I73" s="53">
        <v>4</v>
      </c>
      <c r="J73" s="54" t="s">
        <v>226</v>
      </c>
      <c r="K73" s="17" t="s">
        <v>181</v>
      </c>
      <c r="L73" s="55" t="s">
        <v>231</v>
      </c>
      <c r="M73" s="17"/>
      <c r="N73" s="44"/>
      <c r="O73" s="44"/>
      <c r="P73" s="44"/>
      <c r="Q73" s="44"/>
      <c r="R73" s="75"/>
    </row>
    <row r="74" spans="1:20" ht="15.6">
      <c r="A74" s="72"/>
      <c r="B74" s="44"/>
      <c r="C74" s="44"/>
      <c r="D74" s="44"/>
      <c r="E74" s="44"/>
      <c r="F74" s="44"/>
      <c r="G74" s="44"/>
      <c r="H74" s="44"/>
      <c r="I74" s="53">
        <v>5</v>
      </c>
      <c r="J74" s="54" t="s">
        <v>227</v>
      </c>
      <c r="K74" s="17" t="s">
        <v>179</v>
      </c>
      <c r="L74" s="55" t="s">
        <v>232</v>
      </c>
      <c r="M74" s="17"/>
      <c r="N74" s="44"/>
      <c r="O74" s="44"/>
      <c r="P74" s="44"/>
      <c r="Q74" s="44"/>
      <c r="R74" s="75"/>
    </row>
    <row r="75" spans="1:20">
      <c r="A75" s="72"/>
      <c r="B75" s="44"/>
      <c r="C75" s="44"/>
      <c r="D75" s="52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75"/>
    </row>
    <row r="76" spans="1:20">
      <c r="A76" s="74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79"/>
    </row>
    <row r="77" spans="1:20">
      <c r="A77" s="72"/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75"/>
      <c r="T77" t="s">
        <v>248</v>
      </c>
    </row>
    <row r="78" spans="1:20">
      <c r="A78" s="72"/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75"/>
    </row>
    <row r="79" spans="1:20" ht="20.399999999999999">
      <c r="A79" s="72"/>
      <c r="B79" s="12" t="s">
        <v>159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75"/>
    </row>
    <row r="80" spans="1:20" ht="20.399999999999999">
      <c r="A80" s="72"/>
      <c r="B80" s="44"/>
      <c r="C80" s="13" t="s">
        <v>18</v>
      </c>
      <c r="D80" s="44"/>
      <c r="E80" s="44"/>
      <c r="F80" s="44"/>
      <c r="G80" s="44"/>
      <c r="H80" s="14" t="s">
        <v>19</v>
      </c>
      <c r="I80" s="44"/>
      <c r="J80" s="44"/>
      <c r="K80" s="44"/>
      <c r="L80" s="44"/>
      <c r="M80" s="44"/>
      <c r="N80" s="44"/>
      <c r="O80" s="44"/>
      <c r="P80" s="44"/>
      <c r="Q80" s="44"/>
      <c r="R80" s="75"/>
    </row>
    <row r="81" spans="1:18" ht="15.6">
      <c r="A81" s="72"/>
      <c r="B81" s="44"/>
      <c r="C81" s="44"/>
      <c r="D81" s="29" t="s">
        <v>7</v>
      </c>
      <c r="E81" s="29" t="s">
        <v>123</v>
      </c>
      <c r="F81" s="29" t="s">
        <v>5</v>
      </c>
      <c r="G81" s="44"/>
      <c r="H81" s="44"/>
      <c r="I81" s="3" t="s">
        <v>7</v>
      </c>
      <c r="J81" s="3" t="s">
        <v>175</v>
      </c>
      <c r="K81" s="3" t="s">
        <v>166</v>
      </c>
      <c r="L81" s="3" t="s">
        <v>23</v>
      </c>
      <c r="M81" s="3" t="s">
        <v>5</v>
      </c>
      <c r="N81" s="44"/>
      <c r="O81" s="44"/>
      <c r="P81" s="44"/>
      <c r="Q81" s="44"/>
      <c r="R81" s="75"/>
    </row>
    <row r="82" spans="1:18" ht="15.6">
      <c r="A82" s="72"/>
      <c r="B82" s="44"/>
      <c r="C82" s="44"/>
      <c r="D82" s="19">
        <v>1</v>
      </c>
      <c r="E82" s="21" t="s">
        <v>162</v>
      </c>
      <c r="F82" s="20" t="s">
        <v>163</v>
      </c>
      <c r="G82" s="44"/>
      <c r="H82" s="44"/>
      <c r="I82" s="19">
        <v>1</v>
      </c>
      <c r="J82" s="23" t="s">
        <v>237</v>
      </c>
      <c r="K82" s="17" t="s">
        <v>168</v>
      </c>
      <c r="L82" s="24" t="s">
        <v>242</v>
      </c>
      <c r="M82" s="24"/>
      <c r="N82" s="44"/>
      <c r="O82" s="44"/>
      <c r="P82" s="44"/>
      <c r="Q82" s="44"/>
      <c r="R82" s="75"/>
    </row>
    <row r="83" spans="1:18" ht="15.6">
      <c r="A83" s="72"/>
      <c r="B83" s="44"/>
      <c r="C83" s="44"/>
      <c r="D83" s="19">
        <v>2</v>
      </c>
      <c r="E83" s="21" t="s">
        <v>164</v>
      </c>
      <c r="F83" s="20" t="s">
        <v>165</v>
      </c>
      <c r="G83" s="44"/>
      <c r="H83" s="44"/>
      <c r="I83" s="19">
        <v>2</v>
      </c>
      <c r="J83" s="23" t="s">
        <v>238</v>
      </c>
      <c r="K83" s="17" t="s">
        <v>168</v>
      </c>
      <c r="L83" s="24" t="s">
        <v>243</v>
      </c>
      <c r="M83" s="24"/>
      <c r="N83" s="44"/>
      <c r="O83" s="44"/>
      <c r="P83" s="44"/>
      <c r="Q83" s="44"/>
      <c r="R83" s="75"/>
    </row>
    <row r="84" spans="1:18" ht="15.6">
      <c r="A84" s="72"/>
      <c r="B84" s="44"/>
      <c r="C84" s="44"/>
      <c r="D84" s="44"/>
      <c r="E84" s="44"/>
      <c r="F84" s="44"/>
      <c r="G84" s="44"/>
      <c r="H84" s="44"/>
      <c r="I84" s="19">
        <v>3</v>
      </c>
      <c r="J84" s="49" t="s">
        <v>167</v>
      </c>
      <c r="K84" s="17" t="s">
        <v>168</v>
      </c>
      <c r="L84" s="24" t="s">
        <v>182</v>
      </c>
      <c r="M84" s="24"/>
      <c r="N84" s="44"/>
      <c r="O84" s="44"/>
      <c r="P84" s="44"/>
      <c r="Q84" s="44"/>
      <c r="R84" s="75"/>
    </row>
    <row r="85" spans="1:18" ht="15.6">
      <c r="A85" s="72"/>
      <c r="B85" s="44"/>
      <c r="C85" s="44"/>
      <c r="D85" s="44"/>
      <c r="E85" s="44"/>
      <c r="F85" s="44"/>
      <c r="G85" s="44"/>
      <c r="H85" s="44"/>
      <c r="I85" s="19">
        <v>4</v>
      </c>
      <c r="J85" s="23" t="s">
        <v>239</v>
      </c>
      <c r="K85" s="17" t="s">
        <v>169</v>
      </c>
      <c r="L85" s="24" t="s">
        <v>244</v>
      </c>
      <c r="M85" s="24"/>
      <c r="N85" s="44"/>
      <c r="O85" s="44"/>
      <c r="P85" s="44"/>
      <c r="Q85" s="44"/>
      <c r="R85" s="75"/>
    </row>
    <row r="86" spans="1:18" ht="15.6">
      <c r="A86" s="72"/>
      <c r="B86" s="44"/>
      <c r="C86" s="44"/>
      <c r="D86" s="44"/>
      <c r="E86" s="44"/>
      <c r="F86" s="44"/>
      <c r="G86" s="44"/>
      <c r="H86" s="44"/>
      <c r="I86" s="19">
        <v>5</v>
      </c>
      <c r="J86" s="23" t="s">
        <v>170</v>
      </c>
      <c r="K86" s="17" t="s">
        <v>160</v>
      </c>
      <c r="L86" s="24" t="s">
        <v>245</v>
      </c>
      <c r="M86" s="24"/>
      <c r="N86" s="44"/>
      <c r="O86" s="44"/>
      <c r="P86" s="44"/>
      <c r="Q86" s="44"/>
      <c r="R86" s="75"/>
    </row>
    <row r="87" spans="1:18" ht="15.6">
      <c r="A87" s="72"/>
      <c r="B87" s="44"/>
      <c r="C87" s="44"/>
      <c r="D87" s="44"/>
      <c r="E87" s="44"/>
      <c r="F87" s="44"/>
      <c r="G87" s="44"/>
      <c r="H87" s="44"/>
      <c r="I87" s="19">
        <v>6</v>
      </c>
      <c r="J87" s="23" t="s">
        <v>240</v>
      </c>
      <c r="K87" s="17" t="s">
        <v>160</v>
      </c>
      <c r="L87" s="24" t="s">
        <v>246</v>
      </c>
      <c r="M87" s="24"/>
      <c r="N87" s="44"/>
      <c r="O87" s="44"/>
      <c r="P87" s="44"/>
      <c r="Q87" s="44"/>
      <c r="R87" s="75"/>
    </row>
    <row r="88" spans="1:18" ht="15.6">
      <c r="A88" s="72"/>
      <c r="B88" s="44"/>
      <c r="C88" s="44"/>
      <c r="D88" s="44"/>
      <c r="E88" s="44"/>
      <c r="F88" s="44"/>
      <c r="G88" s="44"/>
      <c r="H88" s="44"/>
      <c r="I88" s="19">
        <v>7</v>
      </c>
      <c r="J88" s="23" t="s">
        <v>241</v>
      </c>
      <c r="K88" s="17" t="s">
        <v>179</v>
      </c>
      <c r="L88" s="24" t="s">
        <v>247</v>
      </c>
      <c r="M88" s="24"/>
      <c r="N88" s="44"/>
      <c r="O88" s="44"/>
      <c r="P88" s="44"/>
      <c r="Q88" s="44"/>
      <c r="R88" s="75"/>
    </row>
    <row r="89" spans="1:18">
      <c r="A89" s="72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68"/>
      <c r="M89" s="44"/>
      <c r="N89" s="44"/>
      <c r="O89" s="44"/>
      <c r="P89" s="44"/>
      <c r="Q89" s="44"/>
      <c r="R89" s="75"/>
    </row>
    <row r="90" spans="1:18">
      <c r="A90" s="74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79"/>
    </row>
    <row r="91" spans="1:18" ht="15" thickBot="1">
      <c r="A91" s="80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2"/>
    </row>
  </sheetData>
  <hyperlinks>
    <hyperlink ref="R70" r:id="rId1" display="B@B" xr:uid="{42F24BBA-21DF-4953-8A5D-97BAF666CC86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KYV - Column</vt:lpstr>
      <vt:lpstr>Data Cleaning</vt:lpstr>
      <vt:lpstr>Data-Transformation-Wrangling</vt:lpstr>
      <vt:lpstr>StoryTelling KPI-Charts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2025-10-29T16:48:01Z</dcterms:created>
  <dcterms:modified xsi:type="dcterms:W3CDTF">2025-11-07T19:01:54Z</dcterms:modified>
</cp:coreProperties>
</file>