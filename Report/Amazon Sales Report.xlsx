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full Wahatule\Desktop\BI Amazon Sale Report\Report\"/>
    </mc:Choice>
  </mc:AlternateContent>
  <xr:revisionPtr revIDLastSave="0" documentId="13_ncr:1_{CBEE9589-55A8-4292-8F99-BEFE19FBE9DF}" xr6:coauthVersionLast="47" xr6:coauthVersionMax="47" xr10:uidLastSave="{00000000-0000-0000-0000-000000000000}"/>
  <bookViews>
    <workbookView xWindow="-108" yWindow="-108" windowWidth="23256" windowHeight="13176" activeTab="3" xr2:uid="{1DE24626-BF60-4871-8242-B0FFC979D36A}"/>
  </bookViews>
  <sheets>
    <sheet name="KYV - Column" sheetId="1" r:id="rId1"/>
    <sheet name="Data Cleaning" sheetId="2" r:id="rId2"/>
    <sheet name="Data-Transformation-Wrangling" sheetId="3" r:id="rId3"/>
    <sheet name="StoryTelling KPI-Charts" sheetId="4" r:id="rId4"/>
    <sheet name="Plan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2" l="1"/>
  <c r="F25" i="2"/>
  <c r="F24" i="2"/>
  <c r="F23" i="2"/>
  <c r="F19" i="2"/>
  <c r="F20" i="2"/>
  <c r="F21" i="2"/>
  <c r="F22" i="2"/>
  <c r="F18" i="2"/>
  <c r="H17" i="2"/>
  <c r="F17" i="2"/>
  <c r="H15" i="2"/>
  <c r="H14" i="2"/>
  <c r="F16" i="2"/>
  <c r="F15" i="2"/>
  <c r="F14" i="2"/>
  <c r="F13" i="2"/>
  <c r="F12" i="2"/>
</calcChain>
</file>

<file path=xl/sharedStrings.xml><?xml version="1.0" encoding="utf-8"?>
<sst xmlns="http://schemas.openxmlformats.org/spreadsheetml/2006/main" count="561" uniqueCount="377">
  <si>
    <t>Know Your Value/Column</t>
  </si>
  <si>
    <t>Befor Transformation</t>
  </si>
  <si>
    <t>After Transformation</t>
  </si>
  <si>
    <t>Col No.</t>
  </si>
  <si>
    <t>Column Name</t>
  </si>
  <si>
    <t>Description / Purpose</t>
  </si>
  <si>
    <t>KYD Data Cleaning</t>
  </si>
  <si>
    <t>Sr. No.</t>
  </si>
  <si>
    <t>Applied Steps</t>
  </si>
  <si>
    <t>Rows Before</t>
  </si>
  <si>
    <t>Rows After</t>
  </si>
  <si>
    <t>Effect (Rows)</t>
  </si>
  <si>
    <t>Col Before</t>
  </si>
  <si>
    <t>Col After</t>
  </si>
  <si>
    <t>Effect (Columns)</t>
  </si>
  <si>
    <t>Data-Transformation-Wrangling</t>
  </si>
  <si>
    <t>Performed Activity (Data Wrangling Step)</t>
  </si>
  <si>
    <t>Story Telling KPI's &amp; Charts</t>
  </si>
  <si>
    <t>KPI's</t>
  </si>
  <si>
    <t>Visuals</t>
  </si>
  <si>
    <t>Filters / Slicers</t>
  </si>
  <si>
    <t>KPI's Name</t>
  </si>
  <si>
    <t>Description</t>
  </si>
  <si>
    <t>Formula</t>
  </si>
  <si>
    <t>Columns Used</t>
  </si>
  <si>
    <t>Visual Type</t>
  </si>
  <si>
    <t>Filter / Slicer Name</t>
  </si>
  <si>
    <t>Used Column</t>
  </si>
  <si>
    <t>Order ID</t>
  </si>
  <si>
    <t>Date</t>
  </si>
  <si>
    <t>Status</t>
  </si>
  <si>
    <t>Fulfilment</t>
  </si>
  <si>
    <t>Sales Channel</t>
  </si>
  <si>
    <t>Category</t>
  </si>
  <si>
    <t>Size</t>
  </si>
  <si>
    <t>Qty</t>
  </si>
  <si>
    <t>Amount</t>
  </si>
  <si>
    <t>City</t>
  </si>
  <si>
    <t>State</t>
  </si>
  <si>
    <t>Country</t>
  </si>
  <si>
    <t>Fulfilled By</t>
  </si>
  <si>
    <t>Shipping Type</t>
  </si>
  <si>
    <t>Quantity ordered</t>
  </si>
  <si>
    <t>Total sale amount</t>
  </si>
  <si>
    <t>Year</t>
  </si>
  <si>
    <t>Month</t>
  </si>
  <si>
    <t>Load CSV File</t>
  </si>
  <si>
    <t>Remove Column</t>
  </si>
  <si>
    <t>index</t>
  </si>
  <si>
    <t>Style</t>
  </si>
  <si>
    <t>ASIN</t>
  </si>
  <si>
    <t>ship-postal-code</t>
  </si>
  <si>
    <t>Unnamed: 22</t>
  </si>
  <si>
    <t>Remove Errors</t>
  </si>
  <si>
    <t>Remove Blank Rows</t>
  </si>
  <si>
    <t>Remove Duplicates</t>
  </si>
  <si>
    <t>Date column data type change using local option slect english us</t>
  </si>
  <si>
    <t xml:space="preserve"> After the handle 0 in qty</t>
  </si>
  <si>
    <t>Remove Errors, Blank Rows, Duplicates</t>
  </si>
  <si>
    <t xml:space="preserve">handel 0 in in qty column and change data type with text and replace value 0 with string  and change data type with the whol number and remove errors </t>
  </si>
  <si>
    <t xml:space="preserve">Add Column </t>
  </si>
  <si>
    <t>Total Amount</t>
  </si>
  <si>
    <t>Remove  Errors</t>
  </si>
  <si>
    <t xml:space="preserve">After handled 0 and null Value in Total Amount </t>
  </si>
  <si>
    <r>
      <t xml:space="preserve">add coustom column total amount and handel the 0 with null valule using the formula </t>
    </r>
    <r>
      <rPr>
        <b/>
        <sz val="11"/>
        <color theme="1"/>
        <rFont val="Calibri"/>
        <family val="2"/>
        <scheme val="minor"/>
      </rPr>
      <t xml:space="preserve"> =if Text.Trim([Total Amount x]) = "0" then null else [Total Amount x]</t>
    </r>
    <r>
      <rPr>
        <sz val="11"/>
        <color theme="1"/>
        <rFont val="Calibri"/>
        <family val="2"/>
        <scheme val="minor"/>
      </rPr>
      <t xml:space="preserve">  . Then after that replace null with string and plot error and remove this</t>
    </r>
  </si>
  <si>
    <r>
      <t xml:space="preserve">add coustom string in city and country column where is empty value and that is </t>
    </r>
    <r>
      <rPr>
        <b/>
        <sz val="11"/>
        <color theme="1"/>
        <rFont val="Calibri"/>
        <family val="2"/>
        <scheme val="minor"/>
      </rPr>
      <t>unknown</t>
    </r>
  </si>
  <si>
    <r>
      <t xml:space="preserve">handel currency column blank strign with </t>
    </r>
    <r>
      <rPr>
        <b/>
        <sz val="11"/>
        <color theme="1"/>
        <rFont val="Calibri"/>
        <family val="2"/>
        <scheme val="minor"/>
      </rPr>
      <t>INR</t>
    </r>
  </si>
  <si>
    <r>
      <t xml:space="preserve">In the column of Promotion id's I see blank values the I replace this with </t>
    </r>
    <r>
      <rPr>
        <b/>
        <sz val="11"/>
        <color theme="1"/>
        <rFont val="Calibri"/>
        <family val="2"/>
        <scheme val="minor"/>
      </rPr>
      <t>No Promotion   this</t>
    </r>
  </si>
  <si>
    <r>
      <t xml:space="preserve">fullfilled by column having blank value replace them with </t>
    </r>
    <r>
      <rPr>
        <b/>
        <sz val="11"/>
        <color theme="1"/>
        <rFont val="Calibri"/>
        <family val="2"/>
        <scheme val="minor"/>
      </rPr>
      <t xml:space="preserve">not specified </t>
    </r>
  </si>
  <si>
    <t>Week</t>
  </si>
  <si>
    <t>Order Type</t>
  </si>
  <si>
    <t>Order Status Group</t>
  </si>
  <si>
    <t>Row number (system generated)</t>
  </si>
  <si>
    <t>Unique order identification number</t>
  </si>
  <si>
    <t>Order placed date (format: MM-DD-YY)</t>
  </si>
  <si>
    <t>Order current status (Delivered / Cancelled / Shipped)</t>
  </si>
  <si>
    <t>Who fulfilled the order (Amazon / Merchant)</t>
  </si>
  <si>
    <t>Platform used for sales (e.g., Amazon.in)</t>
  </si>
  <si>
    <t>ship-service-level</t>
  </si>
  <si>
    <t>Shipping type (Standard / Expedited etc.)</t>
  </si>
  <si>
    <t>Product style code</t>
  </si>
  <si>
    <t>SKU</t>
  </si>
  <si>
    <t>Stock Keeping Unit (unique product code)</t>
  </si>
  <si>
    <t>Product category (Kurta, Set, Top, etc.)</t>
  </si>
  <si>
    <t>Product size (S, M, L, XL, XXL, etc.)</t>
  </si>
  <si>
    <t>Amazon Standard Identification Number</t>
  </si>
  <si>
    <t>Courier Status</t>
  </si>
  <si>
    <t>Shipment progress status</t>
  </si>
  <si>
    <t>currency</t>
  </si>
  <si>
    <t>Currency type (usually INR)</t>
  </si>
  <si>
    <t>ship-city</t>
  </si>
  <si>
    <t>Shipping destination city</t>
  </si>
  <si>
    <t>ship-state</t>
  </si>
  <si>
    <t>Shipping destination state</t>
  </si>
  <si>
    <t>Shipping postal or PIN code</t>
  </si>
  <si>
    <t>ship-country</t>
  </si>
  <si>
    <t>Shipping destination country (e.g., IN)</t>
  </si>
  <si>
    <t>promotion-ids</t>
  </si>
  <si>
    <t>Promotion or coupon identifiers</t>
  </si>
  <si>
    <t>B2B</t>
  </si>
  <si>
    <t>Business-to-Business indicator (TRUE/FALSE)</t>
  </si>
  <si>
    <t>fulfilled-by</t>
  </si>
  <si>
    <t>Fulfillment type (Easy Ship / Merchant / Amazon)</t>
  </si>
  <si>
    <t>Extra blank column (to be removed during cleaning)</t>
  </si>
  <si>
    <t>Final cleaned order date (proper date format)</t>
  </si>
  <si>
    <t>Extracted year from the Date column</t>
  </si>
  <si>
    <t>Extracted month name or number from the Date column</t>
  </si>
  <si>
    <t>Extracted week number of the year</t>
  </si>
  <si>
    <t>Cleaned order status (Delivered / Cancelled / Shipped etc.)</t>
  </si>
  <si>
    <t>Categorized order status (Delivered / Cancelled / Shipped)</t>
  </si>
  <si>
    <t>Shipping level or method (Standard / Expedited / Easy Ship etc.)</t>
  </si>
  <si>
    <t>Stock Keeping Unit (unique product identifier)</t>
  </si>
  <si>
    <t>Product category (e.g., Kurta, Set, Top, etc.)</t>
  </si>
  <si>
    <t>Product size (S, M, L, XL, XXL etc.)</t>
  </si>
  <si>
    <t>Quantity ordered per order ID</t>
  </si>
  <si>
    <t>Currency</t>
  </si>
  <si>
    <t>Cleaned and converted total sale amount (numeric type)</t>
  </si>
  <si>
    <t>Final fulfillment source (Easy Ship / Amazon / Merchant)</t>
  </si>
  <si>
    <t>Shipment or courier progress details</t>
  </si>
  <si>
    <t>Promotion IDs</t>
  </si>
  <si>
    <t>Cleaned promotion or offer IDs (or blank if none)</t>
  </si>
  <si>
    <t>Business-to-Business order indicator (Yes/No)</t>
  </si>
  <si>
    <t>Sales Chanel</t>
  </si>
  <si>
    <t>Derived column — “FBA” if Fulfilment = Amazon else “FBM”</t>
  </si>
  <si>
    <r>
      <t xml:space="preserve">Derived as </t>
    </r>
    <r>
      <rPr>
        <i/>
        <sz val="12"/>
        <color theme="1"/>
        <rFont val="Calibri"/>
        <family val="2"/>
        <scheme val="minor"/>
      </rPr>
      <t>Qty × Amount</t>
    </r>
    <r>
      <rPr>
        <sz val="12"/>
        <color theme="1"/>
        <rFont val="Calibri"/>
        <family val="2"/>
        <scheme val="minor"/>
      </rPr>
      <t xml:space="preserve"> — represents total order value</t>
    </r>
  </si>
  <si>
    <t>Final Dashboard Page Plan</t>
  </si>
  <si>
    <t>Page No.</t>
  </si>
  <si>
    <t>Page Name</t>
  </si>
  <si>
    <t>Purpose / Focus</t>
  </si>
  <si>
    <t>Key Columns Used</t>
  </si>
  <si>
    <t>Example Insights / Visuals</t>
  </si>
  <si>
    <t>Home Page</t>
  </si>
  <si>
    <t>—</t>
  </si>
  <si>
    <t>Buttons linking to Overview, Product Insights, Fulfilment, Regional, Promotion pages. Add branding, title, and theme.</t>
  </si>
  <si>
    <t>Overview Dashboard</t>
  </si>
  <si>
    <t>Date, Year, Month, Week, Total Amount, Qty, Category, State, Fulfilment, B2B</t>
  </si>
  <si>
    <t>KPIs (Total Sales, Orders, Avg. Order Value), Monthly Trend, Top Category, Fulfilment Share, Region Heatmap, etc.</t>
  </si>
  <si>
    <t>Product Insights</t>
  </si>
  <si>
    <t>Category, Size, SKU, Qty, Total Amount</t>
  </si>
  <si>
    <t>Best-selling categories, Size-wise performance, SKU-level profit, Product demand pattern.</t>
  </si>
  <si>
    <t>Fulfilment &amp; Delivery</t>
  </si>
  <si>
    <t>Fulfilment, Order Type, Fulfilled By, Courier Status, Shipping Type, Status</t>
  </si>
  <si>
    <t>FBA vs FBM comparison, delivery vs cancelled %, courier performance.</t>
  </si>
  <si>
    <t>Regional Analysis</t>
  </si>
  <si>
    <t>City, State, Country, Total Amount, Qty</t>
  </si>
  <si>
    <t>State-wise map, top 10 cities, sales heatmap, regional contribution %.</t>
  </si>
  <si>
    <t>Promotion &amp; Revenue Analysis</t>
  </si>
  <si>
    <t>Promotion IDs, B2B, Total Amount, Qty, Date</t>
  </si>
  <si>
    <t>Impact of promotions on sales, B2B vs B2C ratio, average revenue per order.</t>
  </si>
  <si>
    <t>7 (Optional)</t>
  </si>
  <si>
    <t>Trend &amp; Forecasting (Advanced)</t>
  </si>
  <si>
    <t>Predict future sales and show time-based patterns.</t>
  </si>
  <si>
    <t>Date, Total Amount, Qty</t>
  </si>
  <si>
    <t>Monthly trends, seasonality, sales forecast using Power BI Analytics pane.</t>
  </si>
  <si>
    <r>
      <t xml:space="preserve">Acts as the </t>
    </r>
    <r>
      <rPr>
        <b/>
        <sz val="12"/>
        <color theme="1"/>
        <rFont val="Calibri"/>
        <family val="2"/>
        <scheme val="minor"/>
      </rPr>
      <t>main navigation hub</t>
    </r>
    <r>
      <rPr>
        <sz val="12"/>
        <color theme="1"/>
        <rFont val="Calibri"/>
        <family val="2"/>
        <scheme val="minor"/>
      </rPr>
      <t>; only contains buttons (no visuals/slicers).</t>
    </r>
  </si>
  <si>
    <r>
      <t>High-level summary</t>
    </r>
    <r>
      <rPr>
        <sz val="12"/>
        <color theme="1"/>
        <rFont val="Calibri"/>
        <family val="2"/>
        <scheme val="minor"/>
      </rPr>
      <t xml:space="preserve"> — contains 1 key visual from each section + buttons to open detailed pages.</t>
    </r>
  </si>
  <si>
    <r>
      <t xml:space="preserve">Focus on </t>
    </r>
    <r>
      <rPr>
        <b/>
        <sz val="12"/>
        <color theme="1"/>
        <rFont val="Calibri"/>
        <family val="2"/>
        <scheme val="minor"/>
      </rPr>
      <t>what products drive performance</t>
    </r>
    <r>
      <rPr>
        <sz val="12"/>
        <color theme="1"/>
        <rFont val="Calibri"/>
        <family val="2"/>
        <scheme val="minor"/>
      </rPr>
      <t>.</t>
    </r>
  </si>
  <si>
    <r>
      <t xml:space="preserve">Focus on </t>
    </r>
    <r>
      <rPr>
        <b/>
        <sz val="12"/>
        <color theme="1"/>
        <rFont val="Calibri"/>
        <family val="2"/>
        <scheme val="minor"/>
      </rPr>
      <t>who fulfilled orders and shipping performance</t>
    </r>
    <r>
      <rPr>
        <sz val="12"/>
        <color theme="1"/>
        <rFont val="Calibri"/>
        <family val="2"/>
        <scheme val="minor"/>
      </rPr>
      <t>.</t>
    </r>
  </si>
  <si>
    <r>
      <t xml:space="preserve">Focus on </t>
    </r>
    <r>
      <rPr>
        <b/>
        <sz val="12"/>
        <color theme="1"/>
        <rFont val="Calibri"/>
        <family val="2"/>
        <scheme val="minor"/>
      </rPr>
      <t>where sales are coming from</t>
    </r>
    <r>
      <rPr>
        <sz val="12"/>
        <color theme="1"/>
        <rFont val="Calibri"/>
        <family val="2"/>
        <scheme val="minor"/>
      </rPr>
      <t>.</t>
    </r>
  </si>
  <si>
    <r>
      <t xml:space="preserve">Focus on </t>
    </r>
    <r>
      <rPr>
        <b/>
        <sz val="12"/>
        <color theme="1"/>
        <rFont val="Calibri"/>
        <family val="2"/>
        <scheme val="minor"/>
      </rPr>
      <t>offers, B2B orders, and revenue patterns</t>
    </r>
    <r>
      <rPr>
        <sz val="12"/>
        <color theme="1"/>
        <rFont val="Calibri"/>
        <family val="2"/>
        <scheme val="minor"/>
      </rPr>
      <t>.</t>
    </r>
  </si>
  <si>
    <t>Globale KPIS</t>
  </si>
  <si>
    <t>KPI No.</t>
  </si>
  <si>
    <t>KPI Name</t>
  </si>
  <si>
    <t>Formula / Basis</t>
  </si>
  <si>
    <t>Total Sales (₹)</t>
  </si>
  <si>
    <t>SUM(Total Amount)</t>
  </si>
  <si>
    <t>Shows total revenue from all orders. This is the main business performance metric.</t>
  </si>
  <si>
    <t>Total Orders</t>
  </si>
  <si>
    <t>COUNTROWS(DISTINCT('Table'[Order ID]))</t>
  </si>
  <si>
    <t>Total number of unique orders placed — helps track order volume.</t>
  </si>
  <si>
    <t>Total Quantity Sold</t>
  </si>
  <si>
    <t>SUM(Qty)</t>
  </si>
  <si>
    <t>Total number of products sold — helps see demand and sales movement.</t>
  </si>
  <si>
    <t>Average Order Value (AOV)</t>
  </si>
  <si>
    <t>DIVIDE(SUM(Total Amount), COUNTROWS(DISTINCT('Table'[Order ID])))</t>
  </si>
  <si>
    <t>Shows average revenue per order — a quality indicator for business performance.</t>
  </si>
  <si>
    <t>KPI</t>
  </si>
  <si>
    <t>When to Use</t>
  </si>
  <si>
    <r>
      <t>Delivered %</t>
    </r>
    <r>
      <rPr>
        <sz val="11"/>
        <color theme="1"/>
        <rFont val="Calibri"/>
        <family val="2"/>
        <scheme val="minor"/>
      </rPr>
      <t xml:space="preserve"> = Delivered Orders ÷ Total Orders</t>
    </r>
  </si>
  <si>
    <t>On Fulfilment/Delivery Page</t>
  </si>
  <si>
    <t>Return/Cancelled %</t>
  </si>
  <si>
    <t>On Fulfilment or Overview Page</t>
  </si>
  <si>
    <t>Promotion Sales %</t>
  </si>
  <si>
    <t>On Promotion Page</t>
  </si>
  <si>
    <t>B2B Sales %</t>
  </si>
  <si>
    <t>On Promotion/Revenue Page</t>
  </si>
  <si>
    <t>Visual Focus</t>
  </si>
  <si>
    <t>Bar Chart (Top 5 Categories by Sales)</t>
  </si>
  <si>
    <t>“Which product categories bring the most revenue?”</t>
  </si>
  <si>
    <t>Category, Total Amount</t>
  </si>
  <si>
    <t>Highlights top-performing product categories; instantly shows best sellers.</t>
  </si>
  <si>
    <t>Donut Chart (Order Type or Fulfilment Share)</t>
  </si>
  <si>
    <t>“Amazon vs Merchant contribution”</t>
  </si>
  <si>
    <t>Order Type / Fulfilment, Total Amount</t>
  </si>
  <si>
    <t>Quick view of FBA vs FBM performance — easy to understand fulfilment split.</t>
  </si>
  <si>
    <t>Map or Filled Map (Sales by State)</t>
  </si>
  <si>
    <t>“Which regions are driving sales?”</t>
  </si>
  <si>
    <t>State, Total Amount</t>
  </si>
  <si>
    <t>Displays sales distribution across India — great visual impact with color intensity.</t>
  </si>
  <si>
    <t>Clustered Column Chart (Promotion vs Non-Promotion Sales)</t>
  </si>
  <si>
    <t>“Are promotions increasing revenue?”</t>
  </si>
  <si>
    <t>Promotion IDs, Total Amount</t>
  </si>
  <si>
    <t>Compare sales from promoted vs regular orders. Quick insight into offer performance.</t>
  </si>
  <si>
    <t>Line Chart (Sales Trend Over Time)</t>
  </si>
  <si>
    <t>“How sales are moving month by month?”</t>
  </si>
  <si>
    <t>Date, Month, Total Amount</t>
  </si>
  <si>
    <t>Monthly trend or forecast line — helps users see growth or dip over time.</t>
  </si>
  <si>
    <t>Overview</t>
  </si>
  <si>
    <t>Promotion Type</t>
  </si>
  <si>
    <t>Product</t>
  </si>
  <si>
    <r>
      <t xml:space="preserve">Acts as the </t>
    </r>
    <r>
      <rPr>
        <b/>
        <sz val="11"/>
        <color theme="1"/>
        <rFont val="Calibri"/>
        <family val="2"/>
        <scheme val="minor"/>
      </rPr>
      <t>main navigation hub</t>
    </r>
    <r>
      <rPr>
        <sz val="11"/>
        <color theme="1"/>
        <rFont val="Calibri"/>
        <family val="2"/>
        <scheme val="minor"/>
      </rPr>
      <t>; only contains buttons (no visuals/slicers).</t>
    </r>
  </si>
  <si>
    <r>
      <t>High-level summary</t>
    </r>
    <r>
      <rPr>
        <sz val="11"/>
        <color theme="1"/>
        <rFont val="Calibri"/>
        <family val="2"/>
        <scheme val="minor"/>
      </rPr>
      <t xml:space="preserve"> — contains 1 key visual from each section + buttons to open detailed pages.</t>
    </r>
  </si>
  <si>
    <r>
      <t xml:space="preserve">Focus on </t>
    </r>
    <r>
      <rPr>
        <b/>
        <sz val="11"/>
        <color theme="1"/>
        <rFont val="Calibri"/>
        <family val="2"/>
        <scheme val="minor"/>
      </rPr>
      <t>what products drive performance</t>
    </r>
    <r>
      <rPr>
        <sz val="11"/>
        <color theme="1"/>
        <rFont val="Calibri"/>
        <family val="2"/>
        <scheme val="minor"/>
      </rPr>
      <t>.</t>
    </r>
  </si>
  <si>
    <r>
      <t xml:space="preserve">Focus on </t>
    </r>
    <r>
      <rPr>
        <b/>
        <sz val="11"/>
        <color theme="1"/>
        <rFont val="Calibri"/>
        <family val="2"/>
        <scheme val="minor"/>
      </rPr>
      <t>who fulfilled orders and shipping performance</t>
    </r>
    <r>
      <rPr>
        <sz val="11"/>
        <color theme="1"/>
        <rFont val="Calibri"/>
        <family val="2"/>
        <scheme val="minor"/>
      </rPr>
      <t>.</t>
    </r>
  </si>
  <si>
    <r>
      <t xml:space="preserve">Focus on </t>
    </r>
    <r>
      <rPr>
        <b/>
        <sz val="11"/>
        <color theme="1"/>
        <rFont val="Calibri"/>
        <family val="2"/>
        <scheme val="minor"/>
      </rPr>
      <t>where sales are coming from</t>
    </r>
    <r>
      <rPr>
        <sz val="11"/>
        <color theme="1"/>
        <rFont val="Calibri"/>
        <family val="2"/>
        <scheme val="minor"/>
      </rPr>
      <t>.</t>
    </r>
  </si>
  <si>
    <r>
      <t xml:space="preserve">Focus on </t>
    </r>
    <r>
      <rPr>
        <b/>
        <sz val="11"/>
        <color theme="1"/>
        <rFont val="Calibri"/>
        <family val="2"/>
        <scheme val="minor"/>
      </rPr>
      <t>offers, B2B orders, and revenue patterns</t>
    </r>
    <r>
      <rPr>
        <sz val="11"/>
        <color theme="1"/>
        <rFont val="Calibri"/>
        <family val="2"/>
        <scheme val="minor"/>
      </rPr>
      <t>.</t>
    </r>
  </si>
  <si>
    <t>Page</t>
  </si>
  <si>
    <t>1️⃣ Product Insights</t>
  </si>
  <si>
    <t>2️⃣ Fulfilment &amp; Delivery</t>
  </si>
  <si>
    <t>3️⃣ Regional Analysis</t>
  </si>
  <si>
    <t>4️⃣ Promotion &amp; Revenue Analysis</t>
  </si>
  <si>
    <t>5️⃣ Trend &amp; Forecasting (Advanced)</t>
  </si>
  <si>
    <t>DAX / Field Logic</t>
  </si>
  <si>
    <t>Purpose / Insight</t>
  </si>
  <si>
    <t>Best-Selling Category</t>
  </si>
  <si>
    <t>Top Performing Size</t>
  </si>
  <si>
    <t>Top SKU by Sales</t>
  </si>
  <si>
    <t>Field Mapping (Power BI)</t>
  </si>
  <si>
    <t>Column Chart – Size-wise Performance</t>
  </si>
  <si>
    <t>Size, Total Amount</t>
  </si>
  <si>
    <t>Understand which product sizes generate the most revenue.</t>
  </si>
  <si>
    <t>Combo Chart – Category vs Quantity &amp; Sales</t>
  </si>
  <si>
    <t>Category, Quantity, Total Amount</t>
  </si>
  <si>
    <t>Compare category performance based on both sales volume and revenue.</t>
  </si>
  <si>
    <t>Bar Chart – Top 10 SKUs by Profit</t>
  </si>
  <si>
    <t>SKU, Total Amount, Cost</t>
  </si>
  <si>
    <t>Shows most profitable products (SKUs).</t>
  </si>
  <si>
    <t>Line Chart – Product Demand Trend (Monthly)</t>
  </si>
  <si>
    <t>Month, Quantity, Category</t>
  </si>
  <si>
    <t>Analyzes monthly demand pattern for each category.</t>
  </si>
  <si>
    <t>Treemap – Sales by Subcategory</t>
  </si>
  <si>
    <t>Category, Sub-Category, Total Amount</t>
  </si>
  <si>
    <t>Visualize contribution of each subcategory to overall sales.</t>
  </si>
  <si>
    <r>
      <t xml:space="preserve">X-Axis: </t>
    </r>
    <r>
      <rPr>
        <sz val="12"/>
        <color theme="1"/>
        <rFont val="Arial Unicode MS"/>
      </rPr>
      <t>Size</t>
    </r>
    <r>
      <rPr>
        <sz val="12"/>
        <color theme="1"/>
        <rFont val="Calibri"/>
        <family val="2"/>
        <scheme val="minor"/>
      </rPr>
      <t xml:space="preserve"> Values: </t>
    </r>
    <r>
      <rPr>
        <sz val="12"/>
        <color theme="1"/>
        <rFont val="Arial Unicode MS"/>
      </rPr>
      <t>SUM(Total Amount)</t>
    </r>
  </si>
  <si>
    <r>
      <t xml:space="preserve">X-Axis: </t>
    </r>
    <r>
      <rPr>
        <sz val="12"/>
        <color theme="1"/>
        <rFont val="Arial Unicode MS"/>
      </rPr>
      <t>Category</t>
    </r>
    <r>
      <rPr>
        <sz val="12"/>
        <color theme="1"/>
        <rFont val="Calibri"/>
        <family val="2"/>
        <scheme val="minor"/>
      </rPr>
      <t xml:space="preserve"> Column: </t>
    </r>
    <r>
      <rPr>
        <sz val="12"/>
        <color theme="1"/>
        <rFont val="Arial Unicode MS"/>
      </rPr>
      <t>SUM(Quantity)</t>
    </r>
    <r>
      <rPr>
        <sz val="12"/>
        <color theme="1"/>
        <rFont val="Calibri"/>
        <family val="2"/>
        <scheme val="minor"/>
      </rPr>
      <t xml:space="preserve"> Line: </t>
    </r>
    <r>
      <rPr>
        <sz val="12"/>
        <color theme="1"/>
        <rFont val="Arial Unicode MS"/>
      </rPr>
      <t>SUM(Total Amount)</t>
    </r>
  </si>
  <si>
    <r>
      <t xml:space="preserve">Axis: </t>
    </r>
    <r>
      <rPr>
        <sz val="12"/>
        <color theme="1"/>
        <rFont val="Arial Unicode MS"/>
      </rPr>
      <t>SKU</t>
    </r>
    <r>
      <rPr>
        <sz val="12"/>
        <color theme="1"/>
        <rFont val="Calibri"/>
        <family val="2"/>
        <scheme val="minor"/>
      </rPr>
      <t xml:space="preserve"> Values: </t>
    </r>
    <r>
      <rPr>
        <sz val="12"/>
        <color theme="1"/>
        <rFont val="Arial Unicode MS"/>
      </rPr>
      <t>Profit = [Total Amount] - [Cost]</t>
    </r>
    <r>
      <rPr>
        <sz val="12"/>
        <color theme="1"/>
        <rFont val="Calibri"/>
        <family val="2"/>
        <scheme val="minor"/>
      </rPr>
      <t xml:space="preserve"> Filter: </t>
    </r>
    <r>
      <rPr>
        <sz val="12"/>
        <color theme="1"/>
        <rFont val="Arial Unicode MS"/>
      </rPr>
      <t>Top 10 by Profit</t>
    </r>
  </si>
  <si>
    <r>
      <t xml:space="preserve">X-Axis: </t>
    </r>
    <r>
      <rPr>
        <sz val="12"/>
        <color theme="1"/>
        <rFont val="Arial Unicode MS"/>
      </rPr>
      <t>Month</t>
    </r>
    <r>
      <rPr>
        <sz val="12"/>
        <color theme="1"/>
        <rFont val="Calibri"/>
        <family val="2"/>
        <scheme val="minor"/>
      </rPr>
      <t xml:space="preserve"> Y-Axis: </t>
    </r>
    <r>
      <rPr>
        <sz val="12"/>
        <color theme="1"/>
        <rFont val="Arial Unicode MS"/>
      </rPr>
      <t>SUM(Quantity)</t>
    </r>
    <r>
      <rPr>
        <sz val="12"/>
        <color theme="1"/>
        <rFont val="Calibri"/>
        <family val="2"/>
        <scheme val="minor"/>
      </rPr>
      <t xml:space="preserve"> Legend: </t>
    </r>
    <r>
      <rPr>
        <sz val="12"/>
        <color theme="1"/>
        <rFont val="Arial Unicode MS"/>
      </rPr>
      <t>Category</t>
    </r>
  </si>
  <si>
    <r>
      <t xml:space="preserve">Group: </t>
    </r>
    <r>
      <rPr>
        <sz val="12"/>
        <color theme="1"/>
        <rFont val="Arial Unicode MS"/>
      </rPr>
      <t>Category</t>
    </r>
    <r>
      <rPr>
        <sz val="12"/>
        <color theme="1"/>
        <rFont val="Calibri"/>
        <family val="2"/>
        <scheme val="minor"/>
      </rPr>
      <t xml:space="preserve"> Details: </t>
    </r>
    <r>
      <rPr>
        <sz val="12"/>
        <color theme="1"/>
        <rFont val="Arial Unicode MS"/>
      </rPr>
      <t>Sub-Category</t>
    </r>
    <r>
      <rPr>
        <sz val="12"/>
        <color theme="1"/>
        <rFont val="Calibri"/>
        <family val="2"/>
        <scheme val="minor"/>
      </rPr>
      <t xml:space="preserve"> Values: </t>
    </r>
    <r>
      <rPr>
        <sz val="12"/>
        <color theme="1"/>
        <rFont val="Arial Unicode MS"/>
      </rPr>
      <t>SUM(Total Amount)</t>
    </r>
  </si>
  <si>
    <t>Global KPI's</t>
  </si>
  <si>
    <t>Best Selling Category = CALCULATE(SELECTEDVALUE('Sales'[Category]), TOPN(1, SUMMARIZE('Sales', 'Sales'[Category], "Sales", SUM('Sales'[Total Amount])), [Sales], DESC))</t>
  </si>
  <si>
    <t>Identifies the product category with the highest total sales.</t>
  </si>
  <si>
    <t>Top Performing Size = CALCULATE(SELECTEDVALUE('Sales'[Size]), TOPN(1, SUMMARIZE('Sales', 'Sales'[Size], "Sales", SUM('Sales'[Total Amount])), [Sales], DESC))</t>
  </si>
  <si>
    <t>Highlights which product size sells the most.</t>
  </si>
  <si>
    <t>Top SKU by Sales = CALCULATE(SELECTEDVALUE('Sales'[SKU]), TOPN(1, SUMMARIZE('Sales', 'Sales'[SKU], "Sales", SUM('Sales'[Total Amount])), [Sales], DESC))</t>
  </si>
  <si>
    <t>Shows the SKU that generates maximum revenue.</t>
  </si>
  <si>
    <t>Average Category Revenue (₹)</t>
  </si>
  <si>
    <t>Avg Category Sales = AVERAGEX(VALUES('Sales'[Category]), SUM('Sales'[Total Amount]))</t>
  </si>
  <si>
    <t>Finds the average sales per category to compare overall product strength.</t>
  </si>
  <si>
    <t>Globle</t>
  </si>
  <si>
    <t>Total Orders (Fulfilment)</t>
  </si>
  <si>
    <t>Total Orders = COUNTROWS('Sales')</t>
  </si>
  <si>
    <t>Shows how many total orders were processed.</t>
  </si>
  <si>
    <t>FBA vs FBM % Share</t>
  </si>
  <si>
    <t>Fulfilment % = DIVIDE(SUMX(FILTER('Sales', 'Sales'[Fulfilment] = "Amazon"), 'Sales'[Total Amount]), [Total Sales])</t>
  </si>
  <si>
    <t>Measures percentage contribution of Amazon (FBA) in total sales.</t>
  </si>
  <si>
    <t>Avg Delivery Value (₹)</t>
  </si>
  <si>
    <t>Avg Delivery Value = AVERAGEX(VALUES('Sales'[Fulfilment]), SUM('Sales'[Total Amount]))</t>
  </si>
  <si>
    <t>Compares average order value handled by each fulfilment method.</t>
  </si>
  <si>
    <t>Delivered Orders %</t>
  </si>
  <si>
    <t>Delivered % = DIVIDE(CALCULATE(COUNTROWS('Sales'), 'Sales'[Order Status Group] = "Delivered"), [Total Orders])</t>
  </si>
  <si>
    <t>Tracks delivery efficiency — % of total delivered orders.</t>
  </si>
  <si>
    <t>Visual Focus / Question</t>
  </si>
  <si>
    <r>
      <t>Donut Chart – Fulfilment Share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(Already used in Overview)</t>
    </r>
  </si>
  <si>
    <t>Fulfilment / Order Type, Total Amount</t>
  </si>
  <si>
    <t>Compare overall revenue share between FBA (Amazon) and FBM (Merchant).</t>
  </si>
  <si>
    <t>Clustered Column Chart – Avg Delivery Amount by Fulfilment</t>
  </si>
  <si>
    <t>“Which fulfilment type gives higher average order value?”</t>
  </si>
  <si>
    <t>Fulfilment, Total Amount</t>
  </si>
  <si>
    <t>Shows which fulfilment type (Amazon or Merchant) handles higher-value orders on average.</t>
  </si>
  <si>
    <t>Bar Chart – Orders by Courier Status</t>
  </si>
  <si>
    <t>“What’s the delivery progress for each fulfilment type?”</t>
  </si>
  <si>
    <t>Courier Status, Fulfilment, Qty</t>
  </si>
  <si>
    <t>Visualizes shipment stages (Delivered, Shipped, Cancelled etc.) under each fulfilment type to measure performance.</t>
  </si>
  <si>
    <t>Stacked Column Chart – Orders by Fulfilment &amp; Status</t>
  </si>
  <si>
    <t>“How each fulfilment type performs across different statuses?”</t>
  </si>
  <si>
    <t>Fulfilment, Order Status Group, Qty</t>
  </si>
  <si>
    <t>Compare delivery performance (Delivered / Shipped / Cancelled) for Amazon vs Merchant in one visual.</t>
  </si>
  <si>
    <t>Card / Gauge – Fulfilment Efficiency %</t>
  </si>
  <si>
    <t>“What is the delivery success rate for each fulfilment type?”</t>
  </si>
  <si>
    <t>Fulfilment, Order Status Group</t>
  </si>
  <si>
    <t>Simple KPI visual showing % of Delivered orders vs Total — great to measure operational efficiency.</t>
  </si>
  <si>
    <t>Regional</t>
  </si>
  <si>
    <r>
      <t>Smart Narrative (AI Visual)</t>
    </r>
    <r>
      <rPr>
        <sz val="11"/>
        <color theme="1"/>
        <rFont val="Calibri"/>
        <family val="2"/>
        <scheme val="minor"/>
      </rPr>
      <t xml:space="preserve"> → Add automatically generated insights like:</t>
    </r>
  </si>
  <si>
    <t>“Amazon fulfilled 60% of total orders with 95% delivery success, while Merchant handled 40% with 80% success.”</t>
  </si>
  <si>
    <r>
      <t xml:space="preserve">Ye </t>
    </r>
    <r>
      <rPr>
        <i/>
        <sz val="11"/>
        <color theme="1"/>
        <rFont val="Calibri"/>
        <family val="2"/>
        <scheme val="minor"/>
      </rPr>
      <t>Power BI Smart Narrative Visual</t>
    </r>
    <r>
      <rPr>
        <sz val="11"/>
        <color theme="1"/>
        <rFont val="Calibri"/>
        <family val="2"/>
        <scheme val="minor"/>
      </rPr>
      <t xml:space="preserve"> se auto insights deta hai.</t>
    </r>
  </si>
  <si>
    <t>Top State by Sales</t>
  </si>
  <si>
    <t>Filled / Shape / Bubble Map</t>
  </si>
  <si>
    <r>
      <t>State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Amount</t>
    </r>
  </si>
  <si>
    <t>Shows total sales per state with color intensity / bubble size</t>
  </si>
  <si>
    <t>Bar Chart – State vs Total Amount</t>
  </si>
  <si>
    <t>“Top-performing states?”</t>
  </si>
  <si>
    <t>Easy comparison of sales across states</t>
  </si>
  <si>
    <t>Stacked Column Chart – Fulfilment by State</t>
  </si>
  <si>
    <t>“Amazon vs Merchant contribution per region?”</t>
  </si>
  <si>
    <r>
      <t>State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Amount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Fulfilment</t>
    </r>
  </si>
  <si>
    <t>Highlights fulfillment trends region-wise</t>
  </si>
  <si>
    <t>Card Visual – Total Regional Sales</t>
  </si>
  <si>
    <t>“What is total sales across all regions?”</t>
  </si>
  <si>
    <t>Quick KPI summary</t>
  </si>
  <si>
    <t>Card Visual – Top State by Sales</t>
  </si>
  <si>
    <t>“Which state contributes most to sales?”</t>
  </si>
  <si>
    <t>Highlights the best-performing state</t>
  </si>
  <si>
    <t>Table / Matrix – State / City / Total Amount / Qty</t>
  </si>
  <si>
    <t>“Detailed breakdown of sales by city and state”</t>
  </si>
  <si>
    <r>
      <t>State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City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Amount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Qty</t>
    </r>
  </si>
  <si>
    <t>Drill-down view for detailed analysis</t>
  </si>
  <si>
    <t>Promotion</t>
  </si>
  <si>
    <t>Forcasting</t>
  </si>
  <si>
    <t>YoY Growth %</t>
  </si>
  <si>
    <t>(SUM(CurrentYearSales)-SUM(PreviousYearSales))/SUM(PreviousYearSales)</t>
  </si>
  <si>
    <t>Shows sales growth compared to same period last year</t>
  </si>
  <si>
    <t>Cumulative Sales</t>
  </si>
  <si>
    <t>CALCULATE(SUM('Orders'[Total Amount]), FILTER(ALLSELECTED('Orders'[Date]), 'Orders'[Date]&lt;=MAX('Orders'[Date])))</t>
  </si>
  <si>
    <t>Shows running total of sales over time</t>
  </si>
  <si>
    <t>Line Chart – Sales Trend Over Time</t>
  </si>
  <si>
    <r>
      <t>Date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Month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Amount</t>
    </r>
  </si>
  <si>
    <t>Shows revenue trend; detects peaks, dips, and seasonality</t>
  </si>
  <si>
    <t>Area Chart – Qty Trend</t>
  </si>
  <si>
    <t>“How units sold are changing over time?”</t>
  </si>
  <si>
    <r>
      <t>Date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Qty</t>
    </r>
  </si>
  <si>
    <t>Visualizes demand trend and sales volume changes</t>
  </si>
  <si>
    <t>Forecast Line (Power BI Analytics)</t>
  </si>
  <si>
    <t>“Predict next 3–6 months sales”</t>
  </si>
  <si>
    <r>
      <t>Date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Amount</t>
    </r>
  </si>
  <si>
    <t>Predicts future revenue using historical trend + confidence interval</t>
  </si>
  <si>
    <t>Line Chart – Cumulative Sales</t>
  </si>
  <si>
    <t>“How sales accumulate over time”</t>
  </si>
  <si>
    <r>
      <t>Date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Cumulative Sales</t>
    </r>
  </si>
  <si>
    <t>Shows running total trend for period-wise progress</t>
  </si>
  <si>
    <t>Combo Chart – Sales vs Quantity</t>
  </si>
  <si>
    <t>“Is revenue growth due to volume or price?”</t>
  </si>
  <si>
    <r>
      <t>Date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Amount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Qty</t>
    </r>
  </si>
  <si>
    <t>Line for sales + Column for Qty to compare revenue vs units</t>
  </si>
  <si>
    <t>Decomposition Tree</t>
  </si>
  <si>
    <t>“What caused the increase/decrease?”</t>
  </si>
  <si>
    <r>
      <t>Total Amount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Fulfilment</t>
    </r>
  </si>
  <si>
    <t>Drill into sales trend by different dimensions to find causes</t>
  </si>
  <si>
    <t>Total Promotion Sales</t>
  </si>
  <si>
    <t>CALCULATE(SUM('Orders'[Total Amount]), NOT(ISBLANK('Orders'[Promotion IDs])))</t>
  </si>
  <si>
    <t>Shows total revenue generated from all promoted orders</t>
  </si>
  <si>
    <t>Promotion Contribution (%)</t>
  </si>
  <si>
    <t>DIVIDE(CALCULATE(SUM('Orders'[Total Amount]), NOT(ISBLANK('Orders'[Promotion IDs]))), SUM('Orders'[Total Amount]))</t>
  </si>
  <si>
    <t>Shows percentage of total sales coming from promotions</t>
  </si>
  <si>
    <t>Top Promotion Type by Sales</t>
  </si>
  <si>
    <t>TOPN(1, SUMMARIZE('Orders','Orders'[Promotion Type],"PromoSales",SUM('Orders'[Total Amount])),[PromoSales],DESC)</t>
  </si>
  <si>
    <t>Highlights the most effective promotion type</t>
  </si>
  <si>
    <t>Clustered Column Chart</t>
  </si>
  <si>
    <t>“Promotion vs Non-Promotion Sales”</t>
  </si>
  <si>
    <r>
      <t>Promotion IDs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Amount</t>
    </r>
  </si>
  <si>
    <t>Compare revenue from promoted vs regular orders</t>
  </si>
  <si>
    <t>Stacked Column Chart</t>
  </si>
  <si>
    <t>“Sales by Promotion Type”</t>
  </si>
  <si>
    <r>
      <t>Promotion 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Amount</t>
    </r>
  </si>
  <si>
    <t>Shows which type of promotion brings the most revenue</t>
  </si>
  <si>
    <t>Card Visual – Total Promotion Sales</t>
  </si>
  <si>
    <t>“Total revenue from promotions”</t>
  </si>
  <si>
    <r>
      <t>Total Amount</t>
    </r>
    <r>
      <rPr>
        <sz val="11"/>
        <color theme="1"/>
        <rFont val="Calibri"/>
        <family val="2"/>
        <scheme val="minor"/>
      </rPr>
      <t xml:space="preserve"> (filtered by Promotion IDs)</t>
    </r>
  </si>
  <si>
    <t>Quick view of total promotion revenue</t>
  </si>
  <si>
    <t>Table / Matrix</t>
  </si>
  <si>
    <t>“Detailed promotion-wise sales”</t>
  </si>
  <si>
    <r>
      <t>Promotion IDs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Promotion 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Amount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Qty</t>
    </r>
  </si>
  <si>
    <t>Drill-down view for detailed analysis per promotion</t>
  </si>
  <si>
    <r>
      <t xml:space="preserve">Identifies the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 xml:space="preserve"> that generates the </t>
    </r>
    <r>
      <rPr>
        <b/>
        <sz val="11"/>
        <color theme="1"/>
        <rFont val="Calibri"/>
        <family val="2"/>
        <scheme val="minor"/>
      </rPr>
      <t>highest total sales</t>
    </r>
    <r>
      <rPr>
        <sz val="11"/>
        <color theme="1"/>
        <rFont val="Calibri"/>
        <family val="2"/>
        <scheme val="minor"/>
      </rPr>
      <t>.</t>
    </r>
  </si>
  <si>
    <t>Top City by Sales</t>
  </si>
  <si>
    <r>
      <t xml:space="preserve">Finds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with the </t>
    </r>
    <r>
      <rPr>
        <b/>
        <sz val="11"/>
        <color theme="1"/>
        <rFont val="Calibri"/>
        <family val="2"/>
        <scheme val="minor"/>
      </rPr>
      <t>maximum revenue contribution</t>
    </r>
    <r>
      <rPr>
        <sz val="11"/>
        <color theme="1"/>
        <rFont val="Calibri"/>
        <family val="2"/>
        <scheme val="minor"/>
      </rPr>
      <t>.</t>
    </r>
  </si>
  <si>
    <t>Top State by Sales = CALCULATE( SELECTEDVALUE('Amazon Sale Data'[State]), TOPN( 1, SUMMARIZE('Amazon Sale Data', 'Amazon Sale Data'[State], "Sales", SUM('Amazon Sale Data'[Total Amount]) ), [Sales], DESC ) )</t>
  </si>
  <si>
    <t>Top City by Sales = CALCULATE( SELECTEDVALUE('Amazon Sale Data'[City]), TOPN( 1, SUMMARIZE('Amazon Sale Data', 'Amazon Sale Data'[City], "Sales", SUM('Amazon Sale Data'[Total Amount]) ), [Sales], DESC 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</si>
</sst>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Segoe UI Emoj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Segoe UI Emoji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Arial Unicode MS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1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/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7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4" fillId="0" borderId="0" xfId="0" applyFont="1"/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6E2D-EEAD-4E4A-8798-C3B53E352FF0}">
  <dimension ref="B3:H30"/>
  <sheetViews>
    <sheetView topLeftCell="A14" workbookViewId="0">
      <selection activeCell="G6" sqref="G6:H29"/>
    </sheetView>
  </sheetViews>
  <sheetFormatPr defaultRowHeight="14.4"/>
  <cols>
    <col min="2" max="2" width="7.77734375" bestFit="1" customWidth="1"/>
    <col min="3" max="3" width="28.77734375" bestFit="1" customWidth="1"/>
    <col min="4" max="4" width="43" customWidth="1"/>
    <col min="5" max="5" width="41.88671875" bestFit="1" customWidth="1"/>
    <col min="6" max="6" width="7.77734375" bestFit="1" customWidth="1"/>
    <col min="7" max="7" width="28.21875" bestFit="1" customWidth="1"/>
    <col min="8" max="8" width="36.77734375" bestFit="1" customWidth="1"/>
  </cols>
  <sheetData>
    <row r="3" spans="2:8" ht="25.8">
      <c r="E3" s="1" t="s">
        <v>0</v>
      </c>
    </row>
    <row r="4" spans="2:8" ht="21">
      <c r="C4" s="2" t="s">
        <v>1</v>
      </c>
      <c r="G4" s="25" t="s">
        <v>2</v>
      </c>
    </row>
    <row r="6" spans="2:8" ht="15.6">
      <c r="B6" s="3" t="s">
        <v>3</v>
      </c>
      <c r="C6" s="3" t="s">
        <v>4</v>
      </c>
      <c r="D6" s="3" t="s">
        <v>5</v>
      </c>
      <c r="F6" s="4" t="s">
        <v>3</v>
      </c>
      <c r="G6" s="4" t="s">
        <v>4</v>
      </c>
      <c r="H6" s="4" t="s">
        <v>5</v>
      </c>
    </row>
    <row r="7" spans="2:8" ht="15.6">
      <c r="B7" s="22">
        <v>1</v>
      </c>
      <c r="C7" s="24" t="s">
        <v>48</v>
      </c>
      <c r="D7" s="23" t="s">
        <v>72</v>
      </c>
      <c r="F7" s="22">
        <v>1</v>
      </c>
      <c r="G7" s="26" t="s">
        <v>28</v>
      </c>
      <c r="H7" s="27" t="s">
        <v>73</v>
      </c>
    </row>
    <row r="8" spans="2:8" ht="31.2">
      <c r="B8" s="22">
        <v>2</v>
      </c>
      <c r="C8" s="24" t="s">
        <v>28</v>
      </c>
      <c r="D8" s="23" t="s">
        <v>73</v>
      </c>
      <c r="F8" s="22">
        <v>2</v>
      </c>
      <c r="G8" s="26" t="s">
        <v>29</v>
      </c>
      <c r="H8" s="27" t="s">
        <v>104</v>
      </c>
    </row>
    <row r="9" spans="2:8" ht="15.6">
      <c r="B9" s="22">
        <v>3</v>
      </c>
      <c r="C9" s="24" t="s">
        <v>29</v>
      </c>
      <c r="D9" s="23" t="s">
        <v>74</v>
      </c>
      <c r="F9" s="22">
        <v>3</v>
      </c>
      <c r="G9" s="26" t="s">
        <v>44</v>
      </c>
      <c r="H9" s="27" t="s">
        <v>105</v>
      </c>
    </row>
    <row r="10" spans="2:8" ht="31.2">
      <c r="B10" s="22">
        <v>4</v>
      </c>
      <c r="C10" s="24" t="s">
        <v>30</v>
      </c>
      <c r="D10" s="23" t="s">
        <v>75</v>
      </c>
      <c r="F10" s="22">
        <v>4</v>
      </c>
      <c r="G10" s="26" t="s">
        <v>45</v>
      </c>
      <c r="H10" s="27" t="s">
        <v>106</v>
      </c>
    </row>
    <row r="11" spans="2:8" ht="31.2">
      <c r="B11" s="22">
        <v>5</v>
      </c>
      <c r="C11" s="24" t="s">
        <v>31</v>
      </c>
      <c r="D11" s="23" t="s">
        <v>76</v>
      </c>
      <c r="F11" s="22">
        <v>5</v>
      </c>
      <c r="G11" s="26" t="s">
        <v>69</v>
      </c>
      <c r="H11" s="27" t="s">
        <v>107</v>
      </c>
    </row>
    <row r="12" spans="2:8" ht="31.2">
      <c r="B12" s="22">
        <v>6</v>
      </c>
      <c r="C12" s="24" t="s">
        <v>32</v>
      </c>
      <c r="D12" s="23" t="s">
        <v>77</v>
      </c>
      <c r="F12" s="22">
        <v>6</v>
      </c>
      <c r="G12" s="26" t="s">
        <v>30</v>
      </c>
      <c r="H12" s="27" t="s">
        <v>108</v>
      </c>
    </row>
    <row r="13" spans="2:8" ht="31.2">
      <c r="B13" s="22">
        <v>7</v>
      </c>
      <c r="C13" s="24" t="s">
        <v>78</v>
      </c>
      <c r="D13" s="23" t="s">
        <v>79</v>
      </c>
      <c r="F13" s="22">
        <v>7</v>
      </c>
      <c r="G13" s="26" t="s">
        <v>71</v>
      </c>
      <c r="H13" s="27" t="s">
        <v>109</v>
      </c>
    </row>
    <row r="14" spans="2:8" ht="31.2">
      <c r="B14" s="22">
        <v>8</v>
      </c>
      <c r="C14" s="24" t="s">
        <v>49</v>
      </c>
      <c r="D14" s="23" t="s">
        <v>80</v>
      </c>
      <c r="F14" s="22">
        <v>8</v>
      </c>
      <c r="G14" s="26" t="s">
        <v>31</v>
      </c>
      <c r="H14" s="27" t="s">
        <v>76</v>
      </c>
    </row>
    <row r="15" spans="2:8" ht="31.2">
      <c r="B15" s="22">
        <v>9</v>
      </c>
      <c r="C15" s="24" t="s">
        <v>81</v>
      </c>
      <c r="D15" s="23" t="s">
        <v>82</v>
      </c>
      <c r="F15" s="22">
        <v>9</v>
      </c>
      <c r="G15" s="26" t="s">
        <v>41</v>
      </c>
      <c r="H15" s="27" t="s">
        <v>110</v>
      </c>
    </row>
    <row r="16" spans="2:8" ht="31.2">
      <c r="B16" s="22">
        <v>10</v>
      </c>
      <c r="C16" s="24" t="s">
        <v>33</v>
      </c>
      <c r="D16" s="23" t="s">
        <v>83</v>
      </c>
      <c r="F16" s="22">
        <v>10</v>
      </c>
      <c r="G16" s="26" t="s">
        <v>70</v>
      </c>
      <c r="H16" s="27" t="s">
        <v>123</v>
      </c>
    </row>
    <row r="17" spans="2:8" ht="31.2">
      <c r="B17" s="22">
        <v>11</v>
      </c>
      <c r="C17" s="24" t="s">
        <v>34</v>
      </c>
      <c r="D17" s="23" t="s">
        <v>84</v>
      </c>
      <c r="F17" s="22">
        <v>11</v>
      </c>
      <c r="G17" s="26" t="s">
        <v>81</v>
      </c>
      <c r="H17" s="27" t="s">
        <v>111</v>
      </c>
    </row>
    <row r="18" spans="2:8" ht="31.2">
      <c r="B18" s="22">
        <v>12</v>
      </c>
      <c r="C18" s="24" t="s">
        <v>50</v>
      </c>
      <c r="D18" s="23" t="s">
        <v>85</v>
      </c>
      <c r="F18" s="22">
        <v>12</v>
      </c>
      <c r="G18" s="26" t="s">
        <v>33</v>
      </c>
      <c r="H18" s="27" t="s">
        <v>112</v>
      </c>
    </row>
    <row r="19" spans="2:8" ht="15.6">
      <c r="B19" s="22">
        <v>13</v>
      </c>
      <c r="C19" s="24" t="s">
        <v>86</v>
      </c>
      <c r="D19" s="23" t="s">
        <v>87</v>
      </c>
      <c r="F19" s="22">
        <v>13</v>
      </c>
      <c r="G19" s="26" t="s">
        <v>34</v>
      </c>
      <c r="H19" s="27" t="s">
        <v>113</v>
      </c>
    </row>
    <row r="20" spans="2:8" ht="15.6">
      <c r="B20" s="22">
        <v>14</v>
      </c>
      <c r="C20" s="24" t="s">
        <v>35</v>
      </c>
      <c r="D20" s="23" t="s">
        <v>42</v>
      </c>
      <c r="F20" s="22">
        <v>14</v>
      </c>
      <c r="G20" s="26" t="s">
        <v>86</v>
      </c>
      <c r="H20" s="27" t="s">
        <v>118</v>
      </c>
    </row>
    <row r="21" spans="2:8" ht="15.6">
      <c r="B21" s="22">
        <v>15</v>
      </c>
      <c r="C21" s="24" t="s">
        <v>88</v>
      </c>
      <c r="D21" s="23" t="s">
        <v>89</v>
      </c>
      <c r="F21" s="22">
        <v>15</v>
      </c>
      <c r="G21" s="26" t="s">
        <v>35</v>
      </c>
      <c r="H21" s="27" t="s">
        <v>114</v>
      </c>
    </row>
    <row r="22" spans="2:8" ht="31.2">
      <c r="B22" s="22">
        <v>16</v>
      </c>
      <c r="C22" s="24" t="s">
        <v>36</v>
      </c>
      <c r="D22" s="23" t="s">
        <v>43</v>
      </c>
      <c r="F22" s="22">
        <v>16</v>
      </c>
      <c r="G22" s="26" t="s">
        <v>36</v>
      </c>
      <c r="H22" s="27" t="s">
        <v>116</v>
      </c>
    </row>
    <row r="23" spans="2:8" ht="31.2">
      <c r="B23" s="22">
        <v>17</v>
      </c>
      <c r="C23" s="24" t="s">
        <v>90</v>
      </c>
      <c r="D23" s="23" t="s">
        <v>91</v>
      </c>
      <c r="F23" s="22">
        <v>17</v>
      </c>
      <c r="G23" s="26" t="s">
        <v>61</v>
      </c>
      <c r="H23" s="27" t="s">
        <v>124</v>
      </c>
    </row>
    <row r="24" spans="2:8" ht="15.6">
      <c r="B24" s="22">
        <v>18</v>
      </c>
      <c r="C24" s="24" t="s">
        <v>92</v>
      </c>
      <c r="D24" s="23" t="s">
        <v>93</v>
      </c>
      <c r="F24" s="22">
        <v>18</v>
      </c>
      <c r="G24" s="26" t="s">
        <v>37</v>
      </c>
      <c r="H24" s="27" t="s">
        <v>91</v>
      </c>
    </row>
    <row r="25" spans="2:8" ht="15.6">
      <c r="B25" s="22">
        <v>19</v>
      </c>
      <c r="C25" s="24" t="s">
        <v>51</v>
      </c>
      <c r="D25" s="23" t="s">
        <v>94</v>
      </c>
      <c r="F25" s="22">
        <v>19</v>
      </c>
      <c r="G25" s="26" t="s">
        <v>38</v>
      </c>
      <c r="H25" s="27" t="s">
        <v>93</v>
      </c>
    </row>
    <row r="26" spans="2:8" ht="31.2">
      <c r="B26" s="22">
        <v>20</v>
      </c>
      <c r="C26" s="24" t="s">
        <v>95</v>
      </c>
      <c r="D26" s="23" t="s">
        <v>96</v>
      </c>
      <c r="F26" s="22">
        <v>20</v>
      </c>
      <c r="G26" s="26" t="s">
        <v>119</v>
      </c>
      <c r="H26" s="27" t="s">
        <v>120</v>
      </c>
    </row>
    <row r="27" spans="2:8" ht="31.2">
      <c r="B27" s="22">
        <v>21</v>
      </c>
      <c r="C27" s="24" t="s">
        <v>97</v>
      </c>
      <c r="D27" s="23" t="s">
        <v>98</v>
      </c>
      <c r="F27" s="22">
        <v>21</v>
      </c>
      <c r="G27" s="26" t="s">
        <v>99</v>
      </c>
      <c r="H27" s="27" t="s">
        <v>121</v>
      </c>
    </row>
    <row r="28" spans="2:8" ht="31.2">
      <c r="B28" s="22">
        <v>22</v>
      </c>
      <c r="C28" s="24" t="s">
        <v>99</v>
      </c>
      <c r="D28" s="23" t="s">
        <v>100</v>
      </c>
      <c r="F28" s="22">
        <v>22</v>
      </c>
      <c r="G28" s="26" t="s">
        <v>40</v>
      </c>
      <c r="H28" s="27" t="s">
        <v>117</v>
      </c>
    </row>
    <row r="29" spans="2:8" ht="31.2">
      <c r="B29" s="22">
        <v>23</v>
      </c>
      <c r="C29" s="24" t="s">
        <v>101</v>
      </c>
      <c r="D29" s="23" t="s">
        <v>102</v>
      </c>
      <c r="F29" s="22">
        <v>23</v>
      </c>
      <c r="G29" s="43" t="s">
        <v>208</v>
      </c>
      <c r="H29" s="21"/>
    </row>
    <row r="30" spans="2:8" ht="31.2">
      <c r="B30" s="22">
        <v>24</v>
      </c>
      <c r="C30" s="24" t="s">
        <v>52</v>
      </c>
      <c r="D30" s="23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DD15-B19C-416D-8A8B-7194E6C0A6D6}">
  <dimension ref="B3:K26"/>
  <sheetViews>
    <sheetView topLeftCell="A3" workbookViewId="0">
      <selection activeCell="M15" sqref="M15"/>
    </sheetView>
  </sheetViews>
  <sheetFormatPr defaultRowHeight="14.4"/>
  <cols>
    <col min="2" max="2" width="7.109375" bestFit="1" customWidth="1"/>
    <col min="3" max="3" width="37.77734375" bestFit="1" customWidth="1"/>
    <col min="4" max="4" width="42.21875" bestFit="1" customWidth="1"/>
    <col min="5" max="5" width="7.109375" bestFit="1" customWidth="1"/>
    <col min="6" max="6" width="12.6640625" bestFit="1" customWidth="1"/>
    <col min="7" max="7" width="11.21875" bestFit="1" customWidth="1"/>
    <col min="8" max="8" width="13.21875" bestFit="1" customWidth="1"/>
    <col min="9" max="9" width="10.6640625" bestFit="1" customWidth="1"/>
    <col min="10" max="10" width="9.21875" bestFit="1" customWidth="1"/>
    <col min="11" max="11" width="16.33203125" bestFit="1" customWidth="1"/>
  </cols>
  <sheetData>
    <row r="3" spans="2:11" ht="25.8">
      <c r="D3" s="1" t="s">
        <v>6</v>
      </c>
    </row>
    <row r="5" spans="2:11" ht="15.6">
      <c r="B5" s="5" t="s">
        <v>7</v>
      </c>
      <c r="C5" s="5" t="s">
        <v>8</v>
      </c>
      <c r="D5" s="6"/>
      <c r="E5" s="7" t="s">
        <v>7</v>
      </c>
      <c r="F5" s="8" t="s">
        <v>9</v>
      </c>
      <c r="G5" s="8" t="s">
        <v>10</v>
      </c>
      <c r="H5" s="8" t="s">
        <v>11</v>
      </c>
      <c r="I5" s="9" t="s">
        <v>12</v>
      </c>
      <c r="J5" s="9" t="s">
        <v>13</v>
      </c>
      <c r="K5" s="9" t="s">
        <v>14</v>
      </c>
    </row>
    <row r="6" spans="2:11" ht="15.6">
      <c r="B6" s="20">
        <v>0</v>
      </c>
      <c r="C6" s="20" t="s">
        <v>46</v>
      </c>
      <c r="E6" s="21">
        <v>0</v>
      </c>
      <c r="F6" s="21">
        <v>128975</v>
      </c>
      <c r="G6" s="21">
        <v>128975</v>
      </c>
      <c r="H6" s="21">
        <v>0</v>
      </c>
      <c r="I6" s="21">
        <v>24</v>
      </c>
      <c r="J6" s="21">
        <v>24</v>
      </c>
      <c r="K6" s="21">
        <v>0</v>
      </c>
    </row>
    <row r="7" spans="2:11" ht="15.6">
      <c r="B7" s="20">
        <v>1</v>
      </c>
      <c r="C7" s="20" t="s">
        <v>47</v>
      </c>
      <c r="D7" t="s">
        <v>48</v>
      </c>
      <c r="E7" s="21">
        <v>1</v>
      </c>
      <c r="F7" s="21">
        <v>128975</v>
      </c>
      <c r="G7" s="21">
        <v>128975</v>
      </c>
      <c r="H7" s="21">
        <v>0</v>
      </c>
      <c r="I7" s="21">
        <v>24</v>
      </c>
      <c r="J7" s="21">
        <v>23</v>
      </c>
      <c r="K7" s="21">
        <v>1</v>
      </c>
    </row>
    <row r="8" spans="2:11" ht="15.6">
      <c r="B8" s="20">
        <v>2</v>
      </c>
      <c r="C8" s="20" t="s">
        <v>47</v>
      </c>
      <c r="D8" t="s">
        <v>49</v>
      </c>
      <c r="E8" s="21">
        <v>2</v>
      </c>
      <c r="F8" s="21">
        <v>128975</v>
      </c>
      <c r="G8" s="21">
        <v>128975</v>
      </c>
      <c r="H8" s="21">
        <v>0</v>
      </c>
      <c r="I8" s="21">
        <v>23</v>
      </c>
      <c r="J8" s="21">
        <v>22</v>
      </c>
      <c r="K8" s="21">
        <v>1</v>
      </c>
    </row>
    <row r="9" spans="2:11" ht="15.6">
      <c r="B9" s="20">
        <v>3</v>
      </c>
      <c r="C9" s="20" t="s">
        <v>47</v>
      </c>
      <c r="D9" t="s">
        <v>50</v>
      </c>
      <c r="E9" s="21">
        <v>3</v>
      </c>
      <c r="F9" s="21">
        <v>128975</v>
      </c>
      <c r="G9" s="21">
        <v>128975</v>
      </c>
      <c r="H9" s="21">
        <v>0</v>
      </c>
      <c r="I9" s="21">
        <v>22</v>
      </c>
      <c r="J9" s="21">
        <v>21</v>
      </c>
      <c r="K9" s="21">
        <v>1</v>
      </c>
    </row>
    <row r="10" spans="2:11" ht="15.6">
      <c r="B10" s="20">
        <v>4</v>
      </c>
      <c r="C10" s="20" t="s">
        <v>47</v>
      </c>
      <c r="D10" t="s">
        <v>51</v>
      </c>
      <c r="E10" s="21">
        <v>4</v>
      </c>
      <c r="F10" s="21">
        <v>128975</v>
      </c>
      <c r="G10" s="21">
        <v>128975</v>
      </c>
      <c r="H10" s="21">
        <v>0</v>
      </c>
      <c r="I10" s="21">
        <v>21</v>
      </c>
      <c r="J10" s="21">
        <v>20</v>
      </c>
      <c r="K10" s="21">
        <v>1</v>
      </c>
    </row>
    <row r="11" spans="2:11" ht="15.6">
      <c r="B11" s="20">
        <v>5</v>
      </c>
      <c r="C11" s="20" t="s">
        <v>47</v>
      </c>
      <c r="D11" t="s">
        <v>52</v>
      </c>
      <c r="E11" s="21">
        <v>5</v>
      </c>
      <c r="F11" s="21">
        <v>128975</v>
      </c>
      <c r="G11" s="21">
        <v>128975</v>
      </c>
      <c r="H11" s="21">
        <v>0</v>
      </c>
      <c r="I11" s="21">
        <v>20</v>
      </c>
      <c r="J11" s="21">
        <v>19</v>
      </c>
      <c r="K11" s="21">
        <v>1</v>
      </c>
    </row>
    <row r="12" spans="2:11" ht="15.6">
      <c r="B12" s="20">
        <v>6</v>
      </c>
      <c r="C12" s="20" t="s">
        <v>53</v>
      </c>
      <c r="D12" s="19"/>
      <c r="E12" s="21">
        <v>6</v>
      </c>
      <c r="F12" s="21">
        <f t="shared" ref="F12:F18" si="0">G11</f>
        <v>128975</v>
      </c>
      <c r="G12" s="21">
        <v>128975</v>
      </c>
      <c r="H12" s="21">
        <v>0</v>
      </c>
      <c r="I12" s="21">
        <v>19</v>
      </c>
      <c r="J12" s="21">
        <v>19</v>
      </c>
      <c r="K12" s="21">
        <v>0</v>
      </c>
    </row>
    <row r="13" spans="2:11" ht="15.6">
      <c r="B13" s="20">
        <v>7</v>
      </c>
      <c r="C13" s="20" t="s">
        <v>54</v>
      </c>
      <c r="D13" s="19"/>
      <c r="E13" s="21">
        <v>7</v>
      </c>
      <c r="F13" s="21">
        <f t="shared" si="0"/>
        <v>128975</v>
      </c>
      <c r="G13" s="21">
        <v>128975</v>
      </c>
      <c r="H13" s="21">
        <v>0</v>
      </c>
      <c r="I13" s="21">
        <v>19</v>
      </c>
      <c r="J13" s="21">
        <v>19</v>
      </c>
      <c r="K13" s="21">
        <v>0</v>
      </c>
    </row>
    <row r="14" spans="2:11" ht="15.6">
      <c r="B14" s="20">
        <v>8</v>
      </c>
      <c r="C14" s="20" t="s">
        <v>55</v>
      </c>
      <c r="E14" s="21">
        <v>8</v>
      </c>
      <c r="F14" s="21">
        <f t="shared" si="0"/>
        <v>128975</v>
      </c>
      <c r="G14" s="21">
        <v>128969</v>
      </c>
      <c r="H14" s="21">
        <f>F14-G14</f>
        <v>6</v>
      </c>
      <c r="I14" s="21">
        <v>19</v>
      </c>
      <c r="J14" s="21">
        <v>19</v>
      </c>
      <c r="K14" s="21">
        <v>0</v>
      </c>
    </row>
    <row r="15" spans="2:11" ht="15.6">
      <c r="B15" s="20">
        <v>9</v>
      </c>
      <c r="C15" s="20" t="s">
        <v>58</v>
      </c>
      <c r="D15" t="s">
        <v>57</v>
      </c>
      <c r="E15" s="21">
        <v>9</v>
      </c>
      <c r="F15" s="21">
        <f t="shared" si="0"/>
        <v>128969</v>
      </c>
      <c r="G15" s="21">
        <v>116165</v>
      </c>
      <c r="H15" s="21">
        <f>F15-G15</f>
        <v>12804</v>
      </c>
      <c r="I15" s="21">
        <v>19</v>
      </c>
      <c r="J15" s="21">
        <v>19</v>
      </c>
      <c r="K15" s="21">
        <v>0</v>
      </c>
    </row>
    <row r="16" spans="2:11" ht="15.6">
      <c r="B16" s="20">
        <v>10</v>
      </c>
      <c r="C16" s="20" t="s">
        <v>60</v>
      </c>
      <c r="D16" t="s">
        <v>61</v>
      </c>
      <c r="E16" s="21">
        <v>10</v>
      </c>
      <c r="F16" s="21">
        <f t="shared" si="0"/>
        <v>116165</v>
      </c>
      <c r="G16" s="21">
        <v>116165</v>
      </c>
      <c r="H16" s="21">
        <v>0</v>
      </c>
      <c r="I16" s="21">
        <v>19</v>
      </c>
      <c r="J16" s="21">
        <v>20</v>
      </c>
      <c r="K16" s="21">
        <v>1</v>
      </c>
    </row>
    <row r="17" spans="2:11" ht="15.6">
      <c r="B17" s="20">
        <v>11</v>
      </c>
      <c r="C17" s="20" t="s">
        <v>62</v>
      </c>
      <c r="D17" t="s">
        <v>63</v>
      </c>
      <c r="E17" s="21">
        <v>11</v>
      </c>
      <c r="F17" s="21">
        <f t="shared" si="0"/>
        <v>116165</v>
      </c>
      <c r="G17" s="21">
        <v>113698</v>
      </c>
      <c r="H17" s="21">
        <f>F17-G17</f>
        <v>2467</v>
      </c>
      <c r="I17" s="21">
        <v>20</v>
      </c>
      <c r="J17" s="21">
        <v>20</v>
      </c>
      <c r="K17" s="21">
        <v>0</v>
      </c>
    </row>
    <row r="18" spans="2:11" ht="15.6">
      <c r="B18" s="20">
        <v>12</v>
      </c>
      <c r="C18" s="20" t="s">
        <v>60</v>
      </c>
      <c r="D18" t="s">
        <v>44</v>
      </c>
      <c r="E18" s="21">
        <v>12</v>
      </c>
      <c r="F18" s="21">
        <f t="shared" si="0"/>
        <v>113698</v>
      </c>
      <c r="G18" s="21">
        <v>113698</v>
      </c>
      <c r="H18" s="21">
        <v>0</v>
      </c>
      <c r="I18" s="21">
        <v>20</v>
      </c>
      <c r="J18" s="21">
        <v>21</v>
      </c>
      <c r="K18" s="21">
        <v>1</v>
      </c>
    </row>
    <row r="19" spans="2:11" ht="15.6">
      <c r="B19" s="20">
        <v>13</v>
      </c>
      <c r="C19" s="20" t="s">
        <v>60</v>
      </c>
      <c r="D19" t="s">
        <v>45</v>
      </c>
      <c r="E19" s="21">
        <v>13</v>
      </c>
      <c r="F19" s="21">
        <f t="shared" ref="F19:F22" si="1">G18</f>
        <v>113698</v>
      </c>
      <c r="G19" s="21">
        <v>113698</v>
      </c>
      <c r="H19" s="21">
        <v>0</v>
      </c>
      <c r="I19" s="21">
        <v>21</v>
      </c>
      <c r="J19" s="21">
        <v>22</v>
      </c>
      <c r="K19" s="21">
        <v>1</v>
      </c>
    </row>
    <row r="20" spans="2:11" ht="15.6">
      <c r="B20" s="20">
        <v>14</v>
      </c>
      <c r="C20" s="20" t="s">
        <v>60</v>
      </c>
      <c r="D20" t="s">
        <v>69</v>
      </c>
      <c r="E20" s="21">
        <v>14</v>
      </c>
      <c r="F20" s="21">
        <f t="shared" si="1"/>
        <v>113698</v>
      </c>
      <c r="G20" s="21">
        <v>113698</v>
      </c>
      <c r="H20" s="21">
        <v>0</v>
      </c>
      <c r="I20" s="21">
        <v>22</v>
      </c>
      <c r="J20" s="21">
        <v>23</v>
      </c>
      <c r="K20" s="21">
        <v>1</v>
      </c>
    </row>
    <row r="21" spans="2:11" ht="15.6">
      <c r="B21" s="20">
        <v>15</v>
      </c>
      <c r="C21" s="20" t="s">
        <v>60</v>
      </c>
      <c r="D21" t="s">
        <v>70</v>
      </c>
      <c r="E21" s="21">
        <v>15</v>
      </c>
      <c r="F21" s="21">
        <f t="shared" si="1"/>
        <v>113698</v>
      </c>
      <c r="G21" s="21">
        <v>113698</v>
      </c>
      <c r="H21" s="21">
        <v>0</v>
      </c>
      <c r="I21" s="21">
        <v>23</v>
      </c>
      <c r="J21" s="21">
        <v>24</v>
      </c>
      <c r="K21" s="21">
        <v>1</v>
      </c>
    </row>
    <row r="22" spans="2:11" ht="15.6">
      <c r="B22" s="20">
        <v>16</v>
      </c>
      <c r="C22" s="20" t="s">
        <v>60</v>
      </c>
      <c r="D22" t="s">
        <v>71</v>
      </c>
      <c r="E22" s="21">
        <v>16</v>
      </c>
      <c r="F22" s="21">
        <f t="shared" si="1"/>
        <v>113698</v>
      </c>
      <c r="G22" s="21">
        <v>113698</v>
      </c>
      <c r="H22" s="21">
        <v>0</v>
      </c>
      <c r="I22" s="21">
        <v>24</v>
      </c>
      <c r="J22" s="21">
        <v>25</v>
      </c>
      <c r="K22" s="21">
        <v>1</v>
      </c>
    </row>
    <row r="23" spans="2:11" ht="15.6">
      <c r="B23" s="20">
        <v>17</v>
      </c>
      <c r="C23" s="20" t="s">
        <v>47</v>
      </c>
      <c r="D23" t="s">
        <v>122</v>
      </c>
      <c r="E23" s="21">
        <v>17</v>
      </c>
      <c r="F23" s="21">
        <f>G22</f>
        <v>113698</v>
      </c>
      <c r="G23" s="21">
        <v>113698</v>
      </c>
      <c r="H23" s="21">
        <v>0</v>
      </c>
      <c r="I23" s="21">
        <v>25</v>
      </c>
      <c r="J23" s="21">
        <v>24</v>
      </c>
      <c r="K23" s="21">
        <v>1</v>
      </c>
    </row>
    <row r="24" spans="2:11" ht="15.6">
      <c r="B24" s="20">
        <v>18</v>
      </c>
      <c r="C24" s="20" t="s">
        <v>47</v>
      </c>
      <c r="D24" t="s">
        <v>115</v>
      </c>
      <c r="E24" s="21">
        <v>18</v>
      </c>
      <c r="F24" s="21">
        <f>G23</f>
        <v>113698</v>
      </c>
      <c r="G24" s="21">
        <v>113698</v>
      </c>
      <c r="H24" s="21">
        <v>0</v>
      </c>
      <c r="I24" s="21">
        <v>24</v>
      </c>
      <c r="J24" s="21">
        <v>23</v>
      </c>
      <c r="K24" s="21">
        <v>1</v>
      </c>
    </row>
    <row r="25" spans="2:11" ht="15.6">
      <c r="B25" s="20">
        <v>19</v>
      </c>
      <c r="C25" s="20" t="s">
        <v>47</v>
      </c>
      <c r="D25" t="s">
        <v>39</v>
      </c>
      <c r="E25" s="21">
        <v>19</v>
      </c>
      <c r="F25" s="21">
        <f>G24</f>
        <v>113698</v>
      </c>
      <c r="G25" s="21">
        <v>113698</v>
      </c>
      <c r="H25" s="21">
        <v>0</v>
      </c>
      <c r="I25" s="21">
        <v>13</v>
      </c>
      <c r="J25" s="21">
        <v>22</v>
      </c>
      <c r="K25" s="21">
        <v>1</v>
      </c>
    </row>
    <row r="26" spans="2:11" ht="15.6">
      <c r="B26" s="20">
        <v>20</v>
      </c>
      <c r="C26" s="20" t="s">
        <v>60</v>
      </c>
      <c r="D26" s="42" t="s">
        <v>208</v>
      </c>
      <c r="E26" s="21">
        <v>20</v>
      </c>
      <c r="F26" s="21">
        <f>G25</f>
        <v>113698</v>
      </c>
      <c r="G26" s="21">
        <v>113698</v>
      </c>
      <c r="H26" s="21">
        <v>0</v>
      </c>
      <c r="I26" s="21">
        <v>22</v>
      </c>
      <c r="J26" s="21">
        <v>23</v>
      </c>
      <c r="K26" s="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EBDA-2918-4347-B5CD-94210A58680A}">
  <dimension ref="B3:J13"/>
  <sheetViews>
    <sheetView workbookViewId="0">
      <selection activeCell="J10" sqref="J10"/>
    </sheetView>
  </sheetViews>
  <sheetFormatPr defaultRowHeight="14.4"/>
  <cols>
    <col min="2" max="2" width="7.109375" bestFit="1" customWidth="1"/>
    <col min="3" max="3" width="16" customWidth="1"/>
    <col min="4" max="4" width="51.33203125" bestFit="1" customWidth="1"/>
    <col min="10" max="10" width="190.6640625" bestFit="1" customWidth="1"/>
  </cols>
  <sheetData>
    <row r="3" spans="2:10" ht="25.8">
      <c r="D3" s="10" t="s">
        <v>15</v>
      </c>
    </row>
    <row r="5" spans="2:10" ht="15.6">
      <c r="B5" s="4" t="s">
        <v>7</v>
      </c>
      <c r="C5" s="4" t="s">
        <v>4</v>
      </c>
      <c r="D5" s="4" t="s">
        <v>16</v>
      </c>
    </row>
    <row r="7" spans="2:10">
      <c r="I7">
        <v>1</v>
      </c>
      <c r="J7" t="s">
        <v>56</v>
      </c>
    </row>
    <row r="8" spans="2:10">
      <c r="I8">
        <v>2</v>
      </c>
      <c r="J8" t="s">
        <v>59</v>
      </c>
    </row>
    <row r="9" spans="2:10">
      <c r="I9">
        <v>3</v>
      </c>
      <c r="J9" t="s">
        <v>66</v>
      </c>
    </row>
    <row r="10" spans="2:10">
      <c r="I10">
        <v>4</v>
      </c>
      <c r="J10" t="s">
        <v>64</v>
      </c>
    </row>
    <row r="11" spans="2:10">
      <c r="I11">
        <v>5</v>
      </c>
      <c r="J11" t="s">
        <v>65</v>
      </c>
    </row>
    <row r="12" spans="2:10">
      <c r="I12">
        <v>6</v>
      </c>
      <c r="J12" t="s">
        <v>67</v>
      </c>
    </row>
    <row r="13" spans="2:10">
      <c r="I13">
        <v>7</v>
      </c>
      <c r="J1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DCB3-6CAE-4927-8D50-CB20F0599746}">
  <dimension ref="B3:S71"/>
  <sheetViews>
    <sheetView tabSelected="1" topLeftCell="B33" zoomScale="115" workbookViewId="0">
      <selection activeCell="F40" sqref="F40"/>
    </sheetView>
  </sheetViews>
  <sheetFormatPr defaultRowHeight="14.4"/>
  <cols>
    <col min="2" max="2" width="24.44140625" bestFit="1" customWidth="1"/>
    <col min="4" max="4" width="7.109375" bestFit="1" customWidth="1"/>
    <col min="5" max="5" width="21.109375" bestFit="1" customWidth="1"/>
    <col min="6" max="6" width="66.88671875" customWidth="1"/>
    <col min="7" max="7" width="40.5546875" bestFit="1" customWidth="1"/>
    <col min="9" max="9" width="9.88671875" bestFit="1" customWidth="1"/>
    <col min="10" max="10" width="7.109375" bestFit="1" customWidth="1"/>
    <col min="11" max="11" width="39.44140625" bestFit="1" customWidth="1"/>
    <col min="12" max="12" width="32.44140625" bestFit="1" customWidth="1"/>
    <col min="13" max="13" width="42.44140625" customWidth="1"/>
    <col min="14" max="14" width="44.5546875" bestFit="1" customWidth="1"/>
    <col min="16" max="16" width="31.21875" customWidth="1"/>
    <col min="17" max="17" width="7.109375" bestFit="1" customWidth="1"/>
    <col min="18" max="18" width="25.88671875" customWidth="1"/>
    <col min="19" max="19" width="18" customWidth="1"/>
  </cols>
  <sheetData>
    <row r="3" spans="2:19" ht="23.4">
      <c r="B3" s="11"/>
      <c r="C3" s="11"/>
      <c r="D3" s="11"/>
      <c r="E3" s="11"/>
      <c r="F3" s="12" t="s">
        <v>17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5" spans="2:19" ht="21">
      <c r="B5" s="13" t="s">
        <v>207</v>
      </c>
      <c r="C5" s="14"/>
      <c r="D5" s="50" t="s">
        <v>18</v>
      </c>
      <c r="E5" s="50" t="s">
        <v>248</v>
      </c>
      <c r="F5" s="11"/>
      <c r="G5" s="11"/>
      <c r="H5" s="11"/>
      <c r="I5" s="16" t="s">
        <v>19</v>
      </c>
      <c r="J5" s="11"/>
      <c r="K5" s="11"/>
      <c r="L5" s="11"/>
      <c r="M5" s="11"/>
      <c r="N5" s="11"/>
      <c r="O5" s="11"/>
      <c r="P5" s="17" t="s">
        <v>20</v>
      </c>
      <c r="Q5" s="11"/>
      <c r="R5" s="11" t="s">
        <v>258</v>
      </c>
      <c r="S5" s="11"/>
    </row>
    <row r="7" spans="2:19" ht="15.6">
      <c r="B7" s="11"/>
      <c r="C7" s="11"/>
      <c r="D7" s="18" t="s">
        <v>7</v>
      </c>
      <c r="E7" s="18" t="s">
        <v>21</v>
      </c>
      <c r="F7" s="18" t="s">
        <v>22</v>
      </c>
      <c r="G7" s="18" t="s">
        <v>23</v>
      </c>
      <c r="H7" s="11"/>
      <c r="I7" s="11"/>
      <c r="J7" s="3" t="s">
        <v>7</v>
      </c>
      <c r="K7" s="39" t="s">
        <v>25</v>
      </c>
      <c r="L7" s="39" t="s">
        <v>186</v>
      </c>
      <c r="M7" s="39" t="s">
        <v>24</v>
      </c>
      <c r="N7" s="39" t="s">
        <v>5</v>
      </c>
      <c r="O7" s="11"/>
      <c r="P7" s="11"/>
      <c r="Q7" s="41" t="s">
        <v>7</v>
      </c>
      <c r="R7" s="41" t="s">
        <v>26</v>
      </c>
      <c r="S7" s="41" t="s">
        <v>27</v>
      </c>
    </row>
    <row r="8" spans="2:19" ht="31.2">
      <c r="D8" s="44">
        <v>1</v>
      </c>
      <c r="E8" s="26" t="s">
        <v>164</v>
      </c>
      <c r="F8" s="27" t="s">
        <v>166</v>
      </c>
      <c r="G8" s="40" t="s">
        <v>165</v>
      </c>
      <c r="J8" s="44">
        <v>1</v>
      </c>
      <c r="K8" s="26" t="s">
        <v>187</v>
      </c>
      <c r="L8" s="27" t="s">
        <v>188</v>
      </c>
      <c r="M8" s="27" t="s">
        <v>189</v>
      </c>
      <c r="N8" s="27" t="s">
        <v>190</v>
      </c>
      <c r="Q8" s="22">
        <v>1</v>
      </c>
      <c r="R8" s="26" t="s">
        <v>33</v>
      </c>
      <c r="S8" s="27" t="s">
        <v>33</v>
      </c>
    </row>
    <row r="9" spans="2:19" ht="31.2">
      <c r="D9" s="44">
        <v>2</v>
      </c>
      <c r="E9" s="26" t="s">
        <v>167</v>
      </c>
      <c r="F9" s="27" t="s">
        <v>169</v>
      </c>
      <c r="G9" s="40" t="s">
        <v>168</v>
      </c>
      <c r="J9" s="44">
        <v>2</v>
      </c>
      <c r="K9" s="26" t="s">
        <v>191</v>
      </c>
      <c r="L9" s="27" t="s">
        <v>192</v>
      </c>
      <c r="M9" s="27" t="s">
        <v>193</v>
      </c>
      <c r="N9" s="27" t="s">
        <v>194</v>
      </c>
      <c r="Q9" s="22">
        <v>2</v>
      </c>
      <c r="R9" s="26" t="s">
        <v>29</v>
      </c>
      <c r="S9" s="27" t="s">
        <v>29</v>
      </c>
    </row>
    <row r="10" spans="2:19" ht="31.2">
      <c r="D10" s="44">
        <v>3</v>
      </c>
      <c r="E10" s="26" t="s">
        <v>170</v>
      </c>
      <c r="F10" s="27" t="s">
        <v>172</v>
      </c>
      <c r="G10" s="40" t="s">
        <v>171</v>
      </c>
      <c r="J10" s="44">
        <v>3</v>
      </c>
      <c r="K10" s="26" t="s">
        <v>195</v>
      </c>
      <c r="L10" s="27" t="s">
        <v>196</v>
      </c>
      <c r="M10" s="27" t="s">
        <v>197</v>
      </c>
      <c r="N10" s="27" t="s">
        <v>198</v>
      </c>
      <c r="Q10" s="22">
        <v>3</v>
      </c>
      <c r="R10" s="26" t="s">
        <v>37</v>
      </c>
      <c r="S10" s="27" t="s">
        <v>37</v>
      </c>
    </row>
    <row r="11" spans="2:19" ht="31.2">
      <c r="D11" s="44">
        <v>4</v>
      </c>
      <c r="E11" s="26" t="s">
        <v>173</v>
      </c>
      <c r="F11" s="27" t="s">
        <v>175</v>
      </c>
      <c r="G11" s="40" t="s">
        <v>174</v>
      </c>
      <c r="J11" s="44">
        <v>4</v>
      </c>
      <c r="K11" s="26" t="s">
        <v>199</v>
      </c>
      <c r="L11" s="27" t="s">
        <v>200</v>
      </c>
      <c r="M11" s="27" t="s">
        <v>201</v>
      </c>
      <c r="N11" s="27" t="s">
        <v>202</v>
      </c>
      <c r="Q11" s="22">
        <v>4</v>
      </c>
      <c r="R11" s="26" t="s">
        <v>45</v>
      </c>
      <c r="S11" s="27" t="s">
        <v>45</v>
      </c>
    </row>
    <row r="12" spans="2:19" ht="31.2">
      <c r="J12" s="44">
        <v>5</v>
      </c>
      <c r="K12" s="26" t="s">
        <v>203</v>
      </c>
      <c r="L12" s="27" t="s">
        <v>204</v>
      </c>
      <c r="M12" s="27" t="s">
        <v>205</v>
      </c>
      <c r="N12" s="27" t="s">
        <v>206</v>
      </c>
      <c r="Q12" s="22">
        <v>5</v>
      </c>
      <c r="R12" s="26" t="s">
        <v>30</v>
      </c>
      <c r="S12" s="27" t="s">
        <v>30</v>
      </c>
    </row>
    <row r="13" spans="2:19" ht="15.6">
      <c r="Q13" s="22">
        <v>6</v>
      </c>
      <c r="R13" s="26" t="s">
        <v>34</v>
      </c>
      <c r="S13" s="27" t="s">
        <v>34</v>
      </c>
    </row>
    <row r="14" spans="2:19" ht="31.2">
      <c r="Q14" s="22">
        <v>7</v>
      </c>
      <c r="R14" s="26" t="s">
        <v>71</v>
      </c>
      <c r="S14" s="27" t="s">
        <v>71</v>
      </c>
    </row>
    <row r="16" spans="2:19" ht="20.399999999999999">
      <c r="B16" s="13" t="s">
        <v>209</v>
      </c>
      <c r="D16" s="15" t="s">
        <v>18</v>
      </c>
      <c r="I16" s="16" t="s">
        <v>19</v>
      </c>
    </row>
    <row r="18" spans="2:16" ht="15.6">
      <c r="D18" s="49" t="s">
        <v>7</v>
      </c>
      <c r="E18" s="49" t="s">
        <v>162</v>
      </c>
      <c r="F18" s="49" t="s">
        <v>222</v>
      </c>
      <c r="G18" s="49" t="s">
        <v>223</v>
      </c>
      <c r="J18" s="3" t="s">
        <v>7</v>
      </c>
      <c r="K18" s="3" t="s">
        <v>25</v>
      </c>
      <c r="L18" s="3" t="s">
        <v>24</v>
      </c>
      <c r="M18" s="3" t="s">
        <v>227</v>
      </c>
      <c r="N18" s="3" t="s">
        <v>223</v>
      </c>
    </row>
    <row r="19" spans="2:16" ht="39.6">
      <c r="D19" s="22">
        <v>1</v>
      </c>
      <c r="E19" s="52" t="s">
        <v>224</v>
      </c>
      <c r="F19" s="40" t="s">
        <v>249</v>
      </c>
      <c r="G19" s="27" t="s">
        <v>250</v>
      </c>
      <c r="J19" s="23">
        <v>1</v>
      </c>
      <c r="K19" s="24" t="s">
        <v>228</v>
      </c>
      <c r="L19" s="23" t="s">
        <v>229</v>
      </c>
      <c r="M19" s="23" t="s">
        <v>243</v>
      </c>
      <c r="N19" s="23" t="s">
        <v>230</v>
      </c>
    </row>
    <row r="20" spans="2:16" ht="39.6">
      <c r="D20" s="22">
        <v>2</v>
      </c>
      <c r="E20" s="52" t="s">
        <v>225</v>
      </c>
      <c r="F20" s="40" t="s">
        <v>251</v>
      </c>
      <c r="G20" s="27" t="s">
        <v>252</v>
      </c>
      <c r="J20" s="23">
        <v>2</v>
      </c>
      <c r="K20" s="24" t="s">
        <v>231</v>
      </c>
      <c r="L20" s="23" t="s">
        <v>232</v>
      </c>
      <c r="M20" s="23" t="s">
        <v>244</v>
      </c>
      <c r="N20" s="23" t="s">
        <v>233</v>
      </c>
    </row>
    <row r="21" spans="2:16" ht="39.6">
      <c r="D21" s="22">
        <v>3</v>
      </c>
      <c r="E21" s="52" t="s">
        <v>226</v>
      </c>
      <c r="F21" s="40" t="s">
        <v>253</v>
      </c>
      <c r="G21" s="27" t="s">
        <v>254</v>
      </c>
      <c r="J21" s="23">
        <v>3</v>
      </c>
      <c r="K21" s="24" t="s">
        <v>234</v>
      </c>
      <c r="L21" s="23" t="s">
        <v>235</v>
      </c>
      <c r="M21" s="23" t="s">
        <v>245</v>
      </c>
      <c r="N21" s="23" t="s">
        <v>236</v>
      </c>
    </row>
    <row r="22" spans="2:16" ht="31.2">
      <c r="D22" s="22">
        <v>4</v>
      </c>
      <c r="E22" s="52" t="s">
        <v>255</v>
      </c>
      <c r="F22" s="40" t="s">
        <v>256</v>
      </c>
      <c r="G22" s="27" t="s">
        <v>257</v>
      </c>
      <c r="J22" s="23">
        <v>4</v>
      </c>
      <c r="K22" s="24" t="s">
        <v>237</v>
      </c>
      <c r="L22" s="23" t="s">
        <v>238</v>
      </c>
      <c r="M22" s="23" t="s">
        <v>246</v>
      </c>
      <c r="N22" s="23" t="s">
        <v>239</v>
      </c>
    </row>
    <row r="23" spans="2:16" ht="31.2">
      <c r="J23" s="23">
        <v>5</v>
      </c>
      <c r="K23" s="24" t="s">
        <v>240</v>
      </c>
      <c r="L23" s="23" t="s">
        <v>241</v>
      </c>
      <c r="M23" s="23" t="s">
        <v>247</v>
      </c>
      <c r="N23" s="23" t="s">
        <v>242</v>
      </c>
    </row>
    <row r="26" spans="2:16" ht="20.399999999999999">
      <c r="B26" s="13" t="s">
        <v>31</v>
      </c>
      <c r="D26" s="15" t="s">
        <v>18</v>
      </c>
      <c r="I26" s="16" t="s">
        <v>19</v>
      </c>
    </row>
    <row r="28" spans="2:16">
      <c r="D28" s="45" t="s">
        <v>7</v>
      </c>
      <c r="E28" s="45" t="s">
        <v>162</v>
      </c>
      <c r="F28" s="45" t="s">
        <v>222</v>
      </c>
      <c r="G28" s="45" t="s">
        <v>223</v>
      </c>
      <c r="J28" s="45" t="s">
        <v>7</v>
      </c>
      <c r="K28" s="45" t="s">
        <v>25</v>
      </c>
      <c r="L28" s="45" t="s">
        <v>271</v>
      </c>
      <c r="M28" s="45" t="s">
        <v>24</v>
      </c>
      <c r="N28" s="45" t="s">
        <v>223</v>
      </c>
      <c r="P28" s="46" t="s">
        <v>292</v>
      </c>
    </row>
    <row r="29" spans="2:16" ht="28.8">
      <c r="D29" s="19">
        <v>1</v>
      </c>
      <c r="E29" s="47" t="s">
        <v>259</v>
      </c>
      <c r="F29" s="48" t="s">
        <v>260</v>
      </c>
      <c r="G29" s="19" t="s">
        <v>261</v>
      </c>
      <c r="J29" s="19">
        <v>1</v>
      </c>
      <c r="K29" s="47" t="s">
        <v>272</v>
      </c>
      <c r="L29" s="19" t="s">
        <v>192</v>
      </c>
      <c r="M29" s="19" t="s">
        <v>273</v>
      </c>
      <c r="N29" s="19" t="s">
        <v>274</v>
      </c>
      <c r="P29" s="51"/>
    </row>
    <row r="30" spans="2:16" ht="28.8">
      <c r="D30" s="19">
        <v>2</v>
      </c>
      <c r="E30" s="47" t="s">
        <v>262</v>
      </c>
      <c r="F30" s="48" t="s">
        <v>263</v>
      </c>
      <c r="G30" s="19" t="s">
        <v>264</v>
      </c>
      <c r="J30" s="19">
        <v>2</v>
      </c>
      <c r="K30" s="47" t="s">
        <v>275</v>
      </c>
      <c r="L30" s="19" t="s">
        <v>276</v>
      </c>
      <c r="M30" s="19" t="s">
        <v>277</v>
      </c>
      <c r="N30" s="19" t="s">
        <v>278</v>
      </c>
      <c r="P30" s="51" t="s">
        <v>293</v>
      </c>
    </row>
    <row r="31" spans="2:16" ht="43.2">
      <c r="D31" s="19">
        <v>3</v>
      </c>
      <c r="E31" s="47" t="s">
        <v>265</v>
      </c>
      <c r="F31" s="48" t="s">
        <v>266</v>
      </c>
      <c r="G31" s="19" t="s">
        <v>267</v>
      </c>
      <c r="J31" s="19">
        <v>3</v>
      </c>
      <c r="K31" s="47" t="s">
        <v>279</v>
      </c>
      <c r="L31" s="19" t="s">
        <v>280</v>
      </c>
      <c r="M31" s="19" t="s">
        <v>281</v>
      </c>
      <c r="N31" s="19" t="s">
        <v>282</v>
      </c>
      <c r="P31" s="51" t="s">
        <v>294</v>
      </c>
    </row>
    <row r="32" spans="2:16" ht="28.8">
      <c r="D32" s="19">
        <v>4</v>
      </c>
      <c r="E32" s="47" t="s">
        <v>268</v>
      </c>
      <c r="F32" s="48" t="s">
        <v>269</v>
      </c>
      <c r="G32" s="19" t="s">
        <v>270</v>
      </c>
      <c r="J32" s="19">
        <v>4</v>
      </c>
      <c r="K32" s="47" t="s">
        <v>283</v>
      </c>
      <c r="L32" s="19" t="s">
        <v>284</v>
      </c>
      <c r="M32" s="19" t="s">
        <v>285</v>
      </c>
      <c r="N32" s="19" t="s">
        <v>286</v>
      </c>
    </row>
    <row r="33" spans="2:14" ht="28.8">
      <c r="J33" s="19">
        <v>5</v>
      </c>
      <c r="K33" s="47" t="s">
        <v>287</v>
      </c>
      <c r="L33" s="19" t="s">
        <v>288</v>
      </c>
      <c r="M33" s="19" t="s">
        <v>289</v>
      </c>
      <c r="N33" s="19" t="s">
        <v>290</v>
      </c>
    </row>
    <row r="36" spans="2:14" ht="20.399999999999999">
      <c r="B36" s="13" t="s">
        <v>291</v>
      </c>
      <c r="D36" s="15" t="s">
        <v>18</v>
      </c>
      <c r="I36" s="16" t="s">
        <v>19</v>
      </c>
    </row>
    <row r="38" spans="2:14">
      <c r="D38" s="45" t="s">
        <v>7</v>
      </c>
      <c r="E38" s="45" t="s">
        <v>162</v>
      </c>
      <c r="F38" s="45" t="s">
        <v>222</v>
      </c>
      <c r="G38" s="45" t="s">
        <v>223</v>
      </c>
      <c r="J38" s="45" t="s">
        <v>7</v>
      </c>
      <c r="K38" s="45" t="s">
        <v>25</v>
      </c>
      <c r="L38" s="45" t="s">
        <v>271</v>
      </c>
      <c r="M38" s="45" t="s">
        <v>24</v>
      </c>
      <c r="N38" s="45" t="s">
        <v>223</v>
      </c>
    </row>
    <row r="39" spans="2:14" ht="52.8">
      <c r="D39" s="19">
        <v>1</v>
      </c>
      <c r="E39" s="47" t="s">
        <v>295</v>
      </c>
      <c r="F39" s="48" t="s">
        <v>375</v>
      </c>
      <c r="G39" s="19" t="s">
        <v>372</v>
      </c>
      <c r="J39" s="19">
        <v>1</v>
      </c>
      <c r="K39" s="47" t="s">
        <v>296</v>
      </c>
      <c r="L39" s="19" t="s">
        <v>196</v>
      </c>
      <c r="M39" s="48" t="s">
        <v>297</v>
      </c>
      <c r="N39" s="19" t="s">
        <v>298</v>
      </c>
    </row>
    <row r="40" spans="2:14" ht="52.8">
      <c r="D40" s="19">
        <v>2</v>
      </c>
      <c r="E40" s="47" t="s">
        <v>373</v>
      </c>
      <c r="F40" s="48" t="s">
        <v>376</v>
      </c>
      <c r="G40" s="19" t="s">
        <v>374</v>
      </c>
      <c r="J40" s="19">
        <v>2</v>
      </c>
      <c r="K40" s="47" t="s">
        <v>299</v>
      </c>
      <c r="L40" s="19" t="s">
        <v>300</v>
      </c>
      <c r="M40" s="48" t="s">
        <v>297</v>
      </c>
      <c r="N40" s="19" t="s">
        <v>301</v>
      </c>
    </row>
    <row r="41" spans="2:14" ht="28.8">
      <c r="J41" s="19">
        <v>3</v>
      </c>
      <c r="K41" s="47" t="s">
        <v>302</v>
      </c>
      <c r="L41" s="19" t="s">
        <v>303</v>
      </c>
      <c r="M41" s="48" t="s">
        <v>304</v>
      </c>
      <c r="N41" s="19" t="s">
        <v>305</v>
      </c>
    </row>
    <row r="42" spans="2:14" ht="28.8">
      <c r="J42" s="19">
        <v>4</v>
      </c>
      <c r="K42" s="47" t="s">
        <v>306</v>
      </c>
      <c r="L42" s="19" t="s">
        <v>307</v>
      </c>
      <c r="M42" s="48" t="s">
        <v>61</v>
      </c>
      <c r="N42" s="19" t="s">
        <v>308</v>
      </c>
    </row>
    <row r="43" spans="2:14" ht="28.8">
      <c r="J43" s="19">
        <v>5</v>
      </c>
      <c r="K43" s="47" t="s">
        <v>309</v>
      </c>
      <c r="L43" s="19" t="s">
        <v>310</v>
      </c>
      <c r="M43" s="48" t="s">
        <v>297</v>
      </c>
      <c r="N43" s="19" t="s">
        <v>311</v>
      </c>
    </row>
    <row r="44" spans="2:14" ht="28.8">
      <c r="J44" s="19">
        <v>6</v>
      </c>
      <c r="K44" s="47" t="s">
        <v>312</v>
      </c>
      <c r="L44" s="19" t="s">
        <v>313</v>
      </c>
      <c r="M44" s="48" t="s">
        <v>314</v>
      </c>
      <c r="N44" s="19" t="s">
        <v>315</v>
      </c>
    </row>
    <row r="47" spans="2:14" ht="20.399999999999999">
      <c r="B47" s="13" t="s">
        <v>316</v>
      </c>
    </row>
    <row r="49" spans="2:14">
      <c r="D49" s="45" t="s">
        <v>7</v>
      </c>
      <c r="E49" s="45" t="s">
        <v>162</v>
      </c>
      <c r="F49" s="45" t="s">
        <v>222</v>
      </c>
      <c r="G49" s="45" t="s">
        <v>223</v>
      </c>
      <c r="J49" s="45" t="s">
        <v>7</v>
      </c>
      <c r="K49" s="45" t="s">
        <v>25</v>
      </c>
      <c r="L49" s="45" t="s">
        <v>271</v>
      </c>
      <c r="M49" s="45" t="s">
        <v>24</v>
      </c>
      <c r="N49" s="45" t="s">
        <v>223</v>
      </c>
    </row>
    <row r="50" spans="2:14" ht="28.8">
      <c r="D50" s="19">
        <v>1</v>
      </c>
      <c r="E50" s="47" t="s">
        <v>347</v>
      </c>
      <c r="F50" s="48" t="s">
        <v>348</v>
      </c>
      <c r="G50" s="19" t="s">
        <v>349</v>
      </c>
      <c r="J50" s="19">
        <v>1</v>
      </c>
      <c r="K50" s="47" t="s">
        <v>356</v>
      </c>
      <c r="L50" s="19" t="s">
        <v>357</v>
      </c>
      <c r="M50" s="48" t="s">
        <v>358</v>
      </c>
      <c r="N50" s="19" t="s">
        <v>359</v>
      </c>
    </row>
    <row r="51" spans="2:14" ht="28.8">
      <c r="D51" s="19">
        <v>2</v>
      </c>
      <c r="E51" s="47" t="s">
        <v>350</v>
      </c>
      <c r="F51" s="48" t="s">
        <v>351</v>
      </c>
      <c r="G51" s="19" t="s">
        <v>352</v>
      </c>
      <c r="J51" s="19">
        <v>2</v>
      </c>
      <c r="K51" s="47" t="s">
        <v>360</v>
      </c>
      <c r="L51" s="19" t="s">
        <v>361</v>
      </c>
      <c r="M51" s="48" t="s">
        <v>362</v>
      </c>
      <c r="N51" s="19" t="s">
        <v>363</v>
      </c>
    </row>
    <row r="52" spans="2:14" ht="28.8">
      <c r="D52" s="19">
        <v>3</v>
      </c>
      <c r="E52" s="47" t="s">
        <v>353</v>
      </c>
      <c r="F52" s="48" t="s">
        <v>354</v>
      </c>
      <c r="G52" s="19" t="s">
        <v>355</v>
      </c>
      <c r="J52" s="19">
        <v>3</v>
      </c>
      <c r="K52" s="47" t="s">
        <v>364</v>
      </c>
      <c r="L52" s="19" t="s">
        <v>365</v>
      </c>
      <c r="M52" s="48" t="s">
        <v>366</v>
      </c>
      <c r="N52" s="19" t="s">
        <v>367</v>
      </c>
    </row>
    <row r="53" spans="2:14">
      <c r="J53" s="19">
        <v>4</v>
      </c>
      <c r="K53" s="47" t="s">
        <v>368</v>
      </c>
      <c r="L53" s="19" t="s">
        <v>369</v>
      </c>
      <c r="M53" s="48" t="s">
        <v>370</v>
      </c>
      <c r="N53" s="19" t="s">
        <v>371</v>
      </c>
    </row>
    <row r="63" spans="2:14" ht="20.399999999999999">
      <c r="B63" s="13" t="s">
        <v>317</v>
      </c>
    </row>
    <row r="65" spans="4:14">
      <c r="D65" s="45" t="s">
        <v>7</v>
      </c>
      <c r="E65" s="45" t="s">
        <v>162</v>
      </c>
      <c r="F65" s="45" t="s">
        <v>222</v>
      </c>
      <c r="G65" s="45" t="s">
        <v>223</v>
      </c>
      <c r="J65" s="45" t="s">
        <v>7</v>
      </c>
      <c r="K65" s="45" t="s">
        <v>25</v>
      </c>
      <c r="L65" s="45" t="s">
        <v>271</v>
      </c>
      <c r="M65" s="45" t="s">
        <v>24</v>
      </c>
      <c r="N65" s="45" t="s">
        <v>223</v>
      </c>
    </row>
    <row r="66" spans="4:14" ht="28.8">
      <c r="D66" s="19">
        <v>1</v>
      </c>
      <c r="E66" s="47" t="s">
        <v>318</v>
      </c>
      <c r="F66" s="48" t="s">
        <v>319</v>
      </c>
      <c r="G66" s="19" t="s">
        <v>320</v>
      </c>
      <c r="J66" s="19">
        <v>1</v>
      </c>
      <c r="K66" s="47" t="s">
        <v>324</v>
      </c>
      <c r="L66" s="19" t="s">
        <v>204</v>
      </c>
      <c r="M66" s="48" t="s">
        <v>325</v>
      </c>
      <c r="N66" s="19" t="s">
        <v>326</v>
      </c>
    </row>
    <row r="67" spans="4:14" ht="28.8">
      <c r="D67" s="19">
        <v>2</v>
      </c>
      <c r="E67" s="47" t="s">
        <v>321</v>
      </c>
      <c r="F67" s="48" t="s">
        <v>322</v>
      </c>
      <c r="G67" s="19" t="s">
        <v>323</v>
      </c>
      <c r="J67" s="19">
        <v>2</v>
      </c>
      <c r="K67" s="47" t="s">
        <v>327</v>
      </c>
      <c r="L67" s="19" t="s">
        <v>328</v>
      </c>
      <c r="M67" s="48" t="s">
        <v>329</v>
      </c>
      <c r="N67" s="19" t="s">
        <v>330</v>
      </c>
    </row>
    <row r="68" spans="4:14" ht="28.8">
      <c r="J68" s="19">
        <v>3</v>
      </c>
      <c r="K68" s="47" t="s">
        <v>331</v>
      </c>
      <c r="L68" s="19" t="s">
        <v>332</v>
      </c>
      <c r="M68" s="48" t="s">
        <v>333</v>
      </c>
      <c r="N68" s="19" t="s">
        <v>334</v>
      </c>
    </row>
    <row r="69" spans="4:14">
      <c r="J69" s="19">
        <v>4</v>
      </c>
      <c r="K69" s="47" t="s">
        <v>335</v>
      </c>
      <c r="L69" s="19" t="s">
        <v>336</v>
      </c>
      <c r="M69" s="48" t="s">
        <v>337</v>
      </c>
      <c r="N69" s="19" t="s">
        <v>338</v>
      </c>
    </row>
    <row r="70" spans="4:14" ht="28.8">
      <c r="J70" s="19">
        <v>5</v>
      </c>
      <c r="K70" s="47" t="s">
        <v>339</v>
      </c>
      <c r="L70" s="19" t="s">
        <v>340</v>
      </c>
      <c r="M70" s="48" t="s">
        <v>341</v>
      </c>
      <c r="N70" s="19" t="s">
        <v>342</v>
      </c>
    </row>
    <row r="71" spans="4:14" ht="28.8">
      <c r="J71" s="19">
        <v>6</v>
      </c>
      <c r="K71" s="47" t="s">
        <v>343</v>
      </c>
      <c r="L71" s="19" t="s">
        <v>344</v>
      </c>
      <c r="M71" s="48" t="s">
        <v>345</v>
      </c>
      <c r="N71" s="19" t="s">
        <v>346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B4F4-38F3-4EC4-8131-B24327749222}">
  <dimension ref="B3:H36"/>
  <sheetViews>
    <sheetView topLeftCell="B28" workbookViewId="0">
      <selection activeCell="F35" sqref="F35"/>
    </sheetView>
  </sheetViews>
  <sheetFormatPr defaultRowHeight="14.4"/>
  <cols>
    <col min="2" max="2" width="42.6640625" bestFit="1" customWidth="1"/>
    <col min="3" max="3" width="8.21875" bestFit="1" customWidth="1"/>
    <col min="4" max="4" width="17.33203125" bestFit="1" customWidth="1"/>
    <col min="5" max="5" width="37.88671875" bestFit="1" customWidth="1"/>
    <col min="6" max="6" width="34.44140625" bestFit="1" customWidth="1"/>
    <col min="7" max="7" width="54.44140625" customWidth="1"/>
  </cols>
  <sheetData>
    <row r="3" spans="2:8" ht="25.8">
      <c r="B3" s="29" t="s">
        <v>125</v>
      </c>
    </row>
    <row r="5" spans="2:8" ht="31.2">
      <c r="C5" s="30" t="s">
        <v>126</v>
      </c>
      <c r="D5" s="31" t="s">
        <v>127</v>
      </c>
      <c r="E5" s="31" t="s">
        <v>128</v>
      </c>
      <c r="F5" s="31" t="s">
        <v>129</v>
      </c>
      <c r="G5" s="31" t="s">
        <v>130</v>
      </c>
      <c r="H5" s="31" t="s">
        <v>30</v>
      </c>
    </row>
    <row r="6" spans="2:8" ht="46.8">
      <c r="C6" s="28">
        <v>1</v>
      </c>
      <c r="D6" s="26" t="s">
        <v>131</v>
      </c>
      <c r="E6" s="27" t="s">
        <v>154</v>
      </c>
      <c r="F6" s="27" t="s">
        <v>132</v>
      </c>
      <c r="G6" s="27" t="s">
        <v>133</v>
      </c>
      <c r="H6" s="32"/>
    </row>
    <row r="7" spans="2:8" ht="46.8">
      <c r="C7" s="28">
        <v>2</v>
      </c>
      <c r="D7" s="26" t="s">
        <v>134</v>
      </c>
      <c r="E7" s="26" t="s">
        <v>155</v>
      </c>
      <c r="F7" s="27" t="s">
        <v>135</v>
      </c>
      <c r="G7" s="27" t="s">
        <v>136</v>
      </c>
      <c r="H7" s="32"/>
    </row>
    <row r="8" spans="2:8" ht="31.2">
      <c r="C8" s="28">
        <v>3</v>
      </c>
      <c r="D8" s="26" t="s">
        <v>137</v>
      </c>
      <c r="E8" s="27" t="s">
        <v>156</v>
      </c>
      <c r="F8" s="27" t="s">
        <v>138</v>
      </c>
      <c r="G8" s="27" t="s">
        <v>139</v>
      </c>
      <c r="H8" s="32"/>
    </row>
    <row r="9" spans="2:8" ht="46.8">
      <c r="C9" s="28">
        <v>4</v>
      </c>
      <c r="D9" s="26" t="s">
        <v>140</v>
      </c>
      <c r="E9" s="27" t="s">
        <v>157</v>
      </c>
      <c r="F9" s="27" t="s">
        <v>141</v>
      </c>
      <c r="G9" s="27" t="s">
        <v>142</v>
      </c>
      <c r="H9" s="32"/>
    </row>
    <row r="10" spans="2:8" ht="31.2">
      <c r="C10" s="28">
        <v>5</v>
      </c>
      <c r="D10" s="26" t="s">
        <v>143</v>
      </c>
      <c r="E10" s="27" t="s">
        <v>158</v>
      </c>
      <c r="F10" s="27" t="s">
        <v>144</v>
      </c>
      <c r="G10" s="27" t="s">
        <v>145</v>
      </c>
      <c r="H10" s="32"/>
    </row>
    <row r="11" spans="2:8" ht="31.2">
      <c r="C11" s="28">
        <v>6</v>
      </c>
      <c r="D11" s="26" t="s">
        <v>146</v>
      </c>
      <c r="E11" s="27" t="s">
        <v>159</v>
      </c>
      <c r="F11" s="27" t="s">
        <v>147</v>
      </c>
      <c r="G11" s="27" t="s">
        <v>148</v>
      </c>
      <c r="H11" s="32"/>
    </row>
    <row r="12" spans="2:8" ht="46.8">
      <c r="C12" s="28" t="s">
        <v>149</v>
      </c>
      <c r="D12" s="26" t="s">
        <v>150</v>
      </c>
      <c r="E12" s="27" t="s">
        <v>151</v>
      </c>
      <c r="F12" s="27" t="s">
        <v>152</v>
      </c>
      <c r="G12" s="27" t="s">
        <v>153</v>
      </c>
      <c r="H12" s="32"/>
    </row>
    <row r="17" spans="3:7" ht="28.8">
      <c r="C17" s="45" t="s">
        <v>126</v>
      </c>
      <c r="D17" s="34" t="s">
        <v>127</v>
      </c>
      <c r="E17" s="34" t="s">
        <v>128</v>
      </c>
      <c r="F17" s="34" t="s">
        <v>129</v>
      </c>
      <c r="G17" s="34" t="s">
        <v>130</v>
      </c>
    </row>
    <row r="18" spans="3:7" ht="28.8">
      <c r="C18" s="45">
        <v>1</v>
      </c>
      <c r="D18" s="34" t="s">
        <v>131</v>
      </c>
      <c r="E18" s="33" t="s">
        <v>210</v>
      </c>
      <c r="F18" s="33" t="s">
        <v>132</v>
      </c>
      <c r="G18" s="33" t="s">
        <v>133</v>
      </c>
    </row>
    <row r="19" spans="3:7" ht="43.2">
      <c r="C19" s="45">
        <v>2</v>
      </c>
      <c r="D19" s="34" t="s">
        <v>134</v>
      </c>
      <c r="E19" s="34" t="s">
        <v>211</v>
      </c>
      <c r="F19" s="33" t="s">
        <v>135</v>
      </c>
      <c r="G19" s="33" t="s">
        <v>136</v>
      </c>
    </row>
    <row r="20" spans="3:7" ht="28.8">
      <c r="C20" s="45">
        <v>3</v>
      </c>
      <c r="D20" s="34" t="s">
        <v>137</v>
      </c>
      <c r="E20" s="33" t="s">
        <v>212</v>
      </c>
      <c r="F20" s="33" t="s">
        <v>138</v>
      </c>
      <c r="G20" s="33" t="s">
        <v>139</v>
      </c>
    </row>
    <row r="21" spans="3:7" ht="28.8">
      <c r="C21" s="45">
        <v>4</v>
      </c>
      <c r="D21" s="34" t="s">
        <v>140</v>
      </c>
      <c r="E21" s="33" t="s">
        <v>213</v>
      </c>
      <c r="F21" s="33" t="s">
        <v>141</v>
      </c>
      <c r="G21" s="33" t="s">
        <v>142</v>
      </c>
    </row>
    <row r="22" spans="3:7" ht="28.8">
      <c r="C22" s="45">
        <v>5</v>
      </c>
      <c r="D22" s="34" t="s">
        <v>143</v>
      </c>
      <c r="E22" s="33" t="s">
        <v>214</v>
      </c>
      <c r="F22" s="33" t="s">
        <v>144</v>
      </c>
      <c r="G22" s="33" t="s">
        <v>145</v>
      </c>
    </row>
    <row r="23" spans="3:7" ht="28.8">
      <c r="C23" s="45">
        <v>6</v>
      </c>
      <c r="D23" s="34" t="s">
        <v>146</v>
      </c>
      <c r="E23" s="33" t="s">
        <v>215</v>
      </c>
      <c r="F23" s="33" t="s">
        <v>147</v>
      </c>
      <c r="G23" s="33" t="s">
        <v>148</v>
      </c>
    </row>
    <row r="24" spans="3:7" ht="43.2">
      <c r="C24" s="45" t="s">
        <v>149</v>
      </c>
      <c r="D24" s="34" t="s">
        <v>150</v>
      </c>
      <c r="E24" s="33" t="s">
        <v>151</v>
      </c>
      <c r="F24" s="33" t="s">
        <v>152</v>
      </c>
      <c r="G24" s="33" t="s">
        <v>153</v>
      </c>
    </row>
    <row r="31" spans="3:7">
      <c r="C31" s="34" t="s">
        <v>216</v>
      </c>
      <c r="D31" s="34" t="s">
        <v>25</v>
      </c>
      <c r="E31" s="34" t="s">
        <v>186</v>
      </c>
      <c r="F31" s="34" t="s">
        <v>24</v>
      </c>
      <c r="G31" s="34" t="s">
        <v>5</v>
      </c>
    </row>
    <row r="32" spans="3:7" ht="43.2">
      <c r="C32" s="34" t="s">
        <v>217</v>
      </c>
      <c r="D32" s="34" t="s">
        <v>187</v>
      </c>
      <c r="E32" s="33" t="s">
        <v>188</v>
      </c>
      <c r="F32" s="33" t="s">
        <v>189</v>
      </c>
      <c r="G32" s="33" t="s">
        <v>190</v>
      </c>
    </row>
    <row r="33" spans="3:7" ht="57.6">
      <c r="C33" s="34" t="s">
        <v>218</v>
      </c>
      <c r="D33" s="34" t="s">
        <v>191</v>
      </c>
      <c r="E33" s="33" t="s">
        <v>192</v>
      </c>
      <c r="F33" s="33" t="s">
        <v>193</v>
      </c>
      <c r="G33" s="33" t="s">
        <v>194</v>
      </c>
    </row>
    <row r="34" spans="3:7" ht="43.2">
      <c r="C34" s="34" t="s">
        <v>219</v>
      </c>
      <c r="D34" s="34" t="s">
        <v>195</v>
      </c>
      <c r="E34" s="33" t="s">
        <v>196</v>
      </c>
      <c r="F34" s="33" t="s">
        <v>197</v>
      </c>
      <c r="G34" s="33" t="s">
        <v>198</v>
      </c>
    </row>
    <row r="35" spans="3:7" ht="86.4">
      <c r="C35" s="34" t="s">
        <v>220</v>
      </c>
      <c r="D35" s="34" t="s">
        <v>199</v>
      </c>
      <c r="E35" s="33" t="s">
        <v>200</v>
      </c>
      <c r="F35" s="33" t="s">
        <v>201</v>
      </c>
      <c r="G35" s="33" t="s">
        <v>202</v>
      </c>
    </row>
    <row r="36" spans="3:7" ht="86.4">
      <c r="C36" s="34" t="s">
        <v>221</v>
      </c>
      <c r="D36" s="34" t="s">
        <v>203</v>
      </c>
      <c r="E36" s="33" t="s">
        <v>204</v>
      </c>
      <c r="F36" s="33" t="s">
        <v>205</v>
      </c>
      <c r="G36" s="33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AE5E-D7E8-4F3F-BBD9-8CAD9399CE65}">
  <dimension ref="C2:G16"/>
  <sheetViews>
    <sheetView workbookViewId="0">
      <selection activeCell="F17" sqref="F17"/>
    </sheetView>
  </sheetViews>
  <sheetFormatPr defaultRowHeight="14.4"/>
  <cols>
    <col min="3" max="3" width="21" bestFit="1" customWidth="1"/>
    <col min="4" max="4" width="23.6640625" customWidth="1"/>
    <col min="5" max="5" width="30.33203125" customWidth="1"/>
    <col min="6" max="6" width="29.6640625" customWidth="1"/>
    <col min="7" max="7" width="52.5546875" customWidth="1"/>
  </cols>
  <sheetData>
    <row r="2" spans="3:7" ht="25.8">
      <c r="C2" s="36" t="s">
        <v>160</v>
      </c>
    </row>
    <row r="4" spans="3:7" ht="18">
      <c r="D4" s="37" t="s">
        <v>161</v>
      </c>
      <c r="E4" s="38" t="s">
        <v>162</v>
      </c>
      <c r="F4" s="38" t="s">
        <v>163</v>
      </c>
      <c r="G4" s="38" t="s">
        <v>5</v>
      </c>
    </row>
    <row r="5" spans="3:7" ht="31.2">
      <c r="D5" s="28">
        <v>1</v>
      </c>
      <c r="E5" s="26" t="s">
        <v>164</v>
      </c>
      <c r="F5" s="35" t="s">
        <v>165</v>
      </c>
      <c r="G5" s="27" t="s">
        <v>166</v>
      </c>
    </row>
    <row r="6" spans="3:7" ht="31.2">
      <c r="D6" s="28">
        <v>2</v>
      </c>
      <c r="E6" s="26" t="s">
        <v>167</v>
      </c>
      <c r="F6" s="35" t="s">
        <v>168</v>
      </c>
      <c r="G6" s="27" t="s">
        <v>169</v>
      </c>
    </row>
    <row r="7" spans="3:7" ht="31.2">
      <c r="D7" s="28">
        <v>3</v>
      </c>
      <c r="E7" s="26" t="s">
        <v>170</v>
      </c>
      <c r="F7" s="35" t="s">
        <v>171</v>
      </c>
      <c r="G7" s="27" t="s">
        <v>172</v>
      </c>
    </row>
    <row r="8" spans="3:7" ht="45">
      <c r="D8" s="28">
        <v>4</v>
      </c>
      <c r="E8" s="26" t="s">
        <v>173</v>
      </c>
      <c r="F8" s="35" t="s">
        <v>174</v>
      </c>
      <c r="G8" s="27" t="s">
        <v>175</v>
      </c>
    </row>
    <row r="12" spans="3:7">
      <c r="D12" s="34" t="s">
        <v>176</v>
      </c>
      <c r="E12" s="34" t="s">
        <v>177</v>
      </c>
    </row>
    <row r="13" spans="3:7" ht="28.8">
      <c r="D13" s="34" t="s">
        <v>178</v>
      </c>
      <c r="E13" s="33" t="s">
        <v>179</v>
      </c>
    </row>
    <row r="14" spans="3:7">
      <c r="D14" s="34" t="s">
        <v>180</v>
      </c>
      <c r="E14" s="33" t="s">
        <v>181</v>
      </c>
    </row>
    <row r="15" spans="3:7">
      <c r="D15" s="34" t="s">
        <v>182</v>
      </c>
      <c r="E15" s="33" t="s">
        <v>183</v>
      </c>
    </row>
    <row r="16" spans="3:7">
      <c r="D16" s="34" t="s">
        <v>184</v>
      </c>
      <c r="E16" s="33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KYV - Column</vt:lpstr>
      <vt:lpstr>Data Cleaning</vt:lpstr>
      <vt:lpstr>Data-Transformation-Wrangling</vt:lpstr>
      <vt:lpstr>StoryTelling KPI-Charts</vt:lpstr>
      <vt:lpstr>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Wahatule</dc:creator>
  <cp:lastModifiedBy>Prafull Wahatule</cp:lastModifiedBy>
  <dcterms:created xsi:type="dcterms:W3CDTF">2025-10-29T16:48:01Z</dcterms:created>
  <dcterms:modified xsi:type="dcterms:W3CDTF">2025-11-05T06:23:17Z</dcterms:modified>
</cp:coreProperties>
</file>